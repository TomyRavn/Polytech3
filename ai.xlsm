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현재_통합_문서" defaultThemeVersion="166925"/>
  <mc:AlternateContent xmlns:mc="http://schemas.openxmlformats.org/markup-compatibility/2006">
    <mc:Choice Requires="x15">
      <x15ac:absPath xmlns:x15ac="http://schemas.microsoft.com/office/spreadsheetml/2010/11/ac" url="F:\"/>
    </mc:Choice>
  </mc:AlternateContent>
  <xr:revisionPtr revIDLastSave="0" documentId="13_ncr:1_{DBDEF0DB-6767-4B25-A713-48CA39F3BA31}" xr6:coauthVersionLast="45" xr6:coauthVersionMax="45" xr10:uidLastSave="{00000000-0000-0000-0000-000000000000}"/>
  <bookViews>
    <workbookView xWindow="-108" yWindow="-108" windowWidth="23256" windowHeight="12576" firstSheet="4" activeTab="7" xr2:uid="{529A8608-46B4-45D0-AFFC-C88B3A8C1E0A}"/>
  </bookViews>
  <sheets>
    <sheet name="AND" sheetId="1" r:id="rId1"/>
    <sheet name="OR" sheetId="2" r:id="rId2"/>
    <sheet name="NOT" sheetId="3" r:id="rId3"/>
    <sheet name="AND LEARING" sheetId="4" r:id="rId4"/>
    <sheet name="OR LEARNING" sheetId="5" r:id="rId5"/>
    <sheet name="XOR LEARNING" sheetId="6" r:id="rId6"/>
    <sheet name="XOR_back_learning" sheetId="7" r:id="rId7"/>
    <sheet name="Fuzzy" sheetId="8" r:id="rId8"/>
    <sheet name="expert stytem" sheetId="9" r:id="rId9"/>
    <sheet name="genetic algorithm" sheetId="10" r:id="rId10"/>
  </sheets>
  <externalReferences>
    <externalReference r:id="rId11"/>
    <externalReference r:id="rId12"/>
  </externalReferences>
  <calcPr calcId="191029" iterate="1" iterateCount="5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E89" i="10" l="1"/>
  <c r="AD89" i="10"/>
  <c r="AC89" i="10"/>
  <c r="AB89" i="10"/>
  <c r="AA89" i="10"/>
  <c r="Z89" i="10"/>
  <c r="Y89" i="10"/>
  <c r="X89" i="10"/>
  <c r="W89" i="10"/>
  <c r="V89" i="10"/>
  <c r="U89" i="10"/>
  <c r="T89" i="10"/>
  <c r="S89" i="10"/>
  <c r="R89" i="10"/>
  <c r="Q89" i="10"/>
  <c r="P89" i="10"/>
  <c r="O89" i="10"/>
  <c r="N89" i="10"/>
  <c r="M89" i="10"/>
  <c r="L89" i="10"/>
  <c r="K89" i="10"/>
  <c r="J89" i="10"/>
  <c r="I89" i="10"/>
  <c r="H89" i="10"/>
  <c r="G89" i="10"/>
  <c r="F89" i="10"/>
  <c r="E89" i="10"/>
  <c r="D89" i="10"/>
  <c r="C89" i="10"/>
  <c r="B89" i="10"/>
  <c r="Q79" i="10"/>
  <c r="O79" i="10"/>
  <c r="M79" i="10"/>
  <c r="I79" i="10"/>
  <c r="G79" i="10"/>
  <c r="E79" i="10"/>
  <c r="C79" i="10"/>
  <c r="I72" i="10"/>
  <c r="AH29" i="10"/>
  <c r="M27" i="10"/>
  <c r="K79" i="10" s="1"/>
  <c r="X10" i="10"/>
  <c r="S10" i="10" s="1"/>
  <c r="X9" i="10"/>
  <c r="S9" i="10" s="1"/>
  <c r="X8" i="10"/>
  <c r="S8" i="10" s="1"/>
  <c r="X7" i="10"/>
  <c r="S7" i="10" s="1"/>
  <c r="X6" i="10"/>
  <c r="S6" i="10" s="1"/>
  <c r="X5" i="10"/>
  <c r="S5" i="10" s="1"/>
  <c r="X4" i="10"/>
  <c r="S4" i="10" s="1"/>
  <c r="X3" i="10"/>
  <c r="S3" i="10" s="1"/>
  <c r="Z5" i="10" l="1"/>
  <c r="K81" i="10"/>
  <c r="K80" i="10"/>
  <c r="O81" i="10"/>
  <c r="Z7" i="10"/>
  <c r="Z6" i="10"/>
  <c r="U6" i="10"/>
  <c r="Q81" i="10"/>
  <c r="C81" i="10"/>
  <c r="Z3" i="10"/>
  <c r="E81" i="10"/>
  <c r="U8" i="10"/>
  <c r="Z8" i="10"/>
  <c r="Z9" i="10"/>
  <c r="G81" i="10"/>
  <c r="U4" i="10"/>
  <c r="G84" i="10"/>
  <c r="N84" i="10" s="1"/>
  <c r="Z4" i="10"/>
  <c r="I81" i="10"/>
  <c r="U10" i="10"/>
  <c r="Z10" i="10"/>
  <c r="M81" i="10"/>
  <c r="G80" i="10"/>
  <c r="M80" i="10"/>
  <c r="U9" i="10"/>
  <c r="O80" i="10"/>
  <c r="I80" i="10"/>
  <c r="U5" i="10"/>
  <c r="U7" i="10"/>
  <c r="Q80" i="10"/>
  <c r="G83" i="10"/>
  <c r="N83" i="10" s="1"/>
  <c r="U3" i="10"/>
  <c r="C80" i="10"/>
  <c r="E80" i="10"/>
  <c r="D59" i="8" l="1"/>
  <c r="B59" i="8"/>
  <c r="D58" i="8"/>
  <c r="B58" i="8"/>
  <c r="D57" i="8"/>
  <c r="B57" i="8"/>
  <c r="D56" i="8"/>
  <c r="B56" i="8"/>
  <c r="F59" i="8" l="1"/>
  <c r="R59" i="8" s="1"/>
  <c r="F56" i="8"/>
  <c r="N56" i="8" s="1"/>
  <c r="F57" i="8"/>
  <c r="R57" i="8" s="1"/>
  <c r="F58" i="8"/>
  <c r="T58" i="8" s="1"/>
  <c r="Q58" i="8"/>
  <c r="W59" i="8"/>
  <c r="K58" i="8" l="1"/>
  <c r="L58" i="8"/>
  <c r="O57" i="8"/>
  <c r="X58" i="8"/>
  <c r="Q57" i="8"/>
  <c r="X57" i="8"/>
  <c r="W57" i="8"/>
  <c r="Z57" i="8"/>
  <c r="U57" i="8"/>
  <c r="K57" i="8"/>
  <c r="L57" i="8"/>
  <c r="S57" i="8"/>
  <c r="O59" i="8"/>
  <c r="T57" i="8"/>
  <c r="S58" i="8"/>
  <c r="M58" i="8"/>
  <c r="U58" i="8"/>
  <c r="Y57" i="8"/>
  <c r="K59" i="8"/>
  <c r="Z59" i="8"/>
  <c r="O58" i="8"/>
  <c r="W58" i="8"/>
  <c r="Y58" i="8"/>
  <c r="P58" i="8"/>
  <c r="Z58" i="8"/>
  <c r="M57" i="8"/>
  <c r="P57" i="8"/>
  <c r="L59" i="8"/>
  <c r="M59" i="8"/>
  <c r="Q59" i="8"/>
  <c r="Y56" i="8"/>
  <c r="X59" i="8"/>
  <c r="Y59" i="8"/>
  <c r="M56" i="8"/>
  <c r="S59" i="8"/>
  <c r="U59" i="8"/>
  <c r="P59" i="8"/>
  <c r="N59" i="8"/>
  <c r="J59" i="8"/>
  <c r="T59" i="8"/>
  <c r="V59" i="8"/>
  <c r="P56" i="8"/>
  <c r="V56" i="8"/>
  <c r="J56" i="8"/>
  <c r="L56" i="8"/>
  <c r="O56" i="8"/>
  <c r="O60" i="8" s="1"/>
  <c r="Z56" i="8"/>
  <c r="W56" i="8"/>
  <c r="R56" i="8"/>
  <c r="K56" i="8"/>
  <c r="Q56" i="8"/>
  <c r="T56" i="8"/>
  <c r="S56" i="8"/>
  <c r="U56" i="8"/>
  <c r="N58" i="8"/>
  <c r="N57" i="8"/>
  <c r="J57" i="8"/>
  <c r="R58" i="8"/>
  <c r="V58" i="8"/>
  <c r="V57" i="8"/>
  <c r="X56" i="8"/>
  <c r="J58" i="8"/>
  <c r="R60" i="8" l="1"/>
  <c r="T60" i="8"/>
  <c r="Z60" i="8"/>
  <c r="K60" i="8"/>
  <c r="Q60" i="8"/>
  <c r="Y60" i="8"/>
  <c r="W60" i="8"/>
  <c r="J60" i="8"/>
  <c r="X60" i="8"/>
  <c r="S60" i="8"/>
  <c r="L60" i="8"/>
  <c r="M60" i="8"/>
  <c r="P60" i="8"/>
  <c r="N60" i="8"/>
  <c r="U60" i="8"/>
  <c r="V60" i="8"/>
  <c r="B15" i="7"/>
  <c r="C2" i="7"/>
  <c r="B2" i="7"/>
  <c r="C2" i="6" l="1"/>
  <c r="B2" i="6"/>
  <c r="D4" i="6" s="1"/>
  <c r="D6" i="6" s="1"/>
  <c r="B8" i="5"/>
  <c r="C2" i="5"/>
  <c r="B2" i="5"/>
  <c r="B8" i="4"/>
  <c r="C2" i="4"/>
  <c r="B2" i="4"/>
  <c r="B4" i="3"/>
  <c r="B6" i="3" s="1"/>
  <c r="B4" i="2"/>
  <c r="B6" i="2" s="1"/>
  <c r="B4" i="1"/>
  <c r="B6" i="1" s="1"/>
  <c r="C3" i="6"/>
  <c r="B3" i="4"/>
  <c r="C3" i="4"/>
  <c r="B4" i="4"/>
  <c r="B6" i="4"/>
  <c r="B9" i="4"/>
  <c r="B10" i="4"/>
  <c r="C10" i="4"/>
  <c r="B11" i="4"/>
  <c r="C11" i="4"/>
  <c r="B3" i="5"/>
  <c r="C3" i="5"/>
  <c r="B4" i="5"/>
  <c r="B6" i="5"/>
  <c r="B9" i="5"/>
  <c r="B10" i="5"/>
  <c r="C10" i="5"/>
  <c r="B11" i="5"/>
  <c r="C11" i="5"/>
  <c r="B3" i="6"/>
  <c r="B4" i="6"/>
  <c r="B6" i="6"/>
  <c r="B9" i="6"/>
  <c r="B11" i="6"/>
  <c r="H1" i="7"/>
  <c r="H2" i="7"/>
  <c r="B3" i="7"/>
  <c r="C3" i="7"/>
  <c r="D3" i="7"/>
  <c r="E3" i="7"/>
  <c r="H3" i="7"/>
  <c r="B4" i="7"/>
  <c r="D4" i="7"/>
  <c r="H4" i="7"/>
  <c r="B5" i="7"/>
  <c r="D5" i="7"/>
  <c r="H5" i="7"/>
  <c r="H6" i="7"/>
  <c r="H7" i="7"/>
  <c r="B8" i="7"/>
  <c r="D8" i="7"/>
  <c r="H8" i="7"/>
  <c r="C9" i="7"/>
  <c r="H9" i="7"/>
  <c r="C10" i="7"/>
  <c r="H10" i="7"/>
  <c r="H11" i="7"/>
  <c r="H12" i="7"/>
  <c r="H13" i="7"/>
  <c r="H14" i="7"/>
  <c r="H15" i="7"/>
  <c r="B16" i="7"/>
  <c r="H16" i="7"/>
  <c r="H17" i="7"/>
  <c r="H18" i="7"/>
  <c r="H19" i="7"/>
  <c r="H20" i="7"/>
  <c r="H21" i="7"/>
</calcChain>
</file>

<file path=xl/sharedStrings.xml><?xml version="1.0" encoding="utf-8"?>
<sst xmlns="http://schemas.openxmlformats.org/spreadsheetml/2006/main" count="338" uniqueCount="198">
  <si>
    <t>입력</t>
    <phoneticPr fontId="1" type="noConversion"/>
  </si>
  <si>
    <t>웨이트</t>
    <phoneticPr fontId="1" type="noConversion"/>
  </si>
  <si>
    <t>활성값</t>
    <phoneticPr fontId="1" type="noConversion"/>
  </si>
  <si>
    <t>임계치</t>
    <phoneticPr fontId="1" type="noConversion"/>
  </si>
  <si>
    <t>출력</t>
    <phoneticPr fontId="1" type="noConversion"/>
  </si>
  <si>
    <t>A</t>
    <phoneticPr fontId="1" type="noConversion"/>
  </si>
  <si>
    <t>B</t>
    <phoneticPr fontId="1" type="noConversion"/>
  </si>
  <si>
    <t>활성화</t>
    <phoneticPr fontId="1" type="noConversion"/>
  </si>
  <si>
    <t>A AND B</t>
    <phoneticPr fontId="1" type="noConversion"/>
  </si>
  <si>
    <t>목표치</t>
    <phoneticPr fontId="1" type="noConversion"/>
  </si>
  <si>
    <t>에러</t>
    <phoneticPr fontId="1" type="noConversion"/>
  </si>
  <si>
    <t>델타가중치</t>
    <phoneticPr fontId="1" type="noConversion"/>
  </si>
  <si>
    <t>새가중치</t>
    <phoneticPr fontId="1" type="noConversion"/>
  </si>
  <si>
    <t>입력행</t>
    <phoneticPr fontId="1" type="noConversion"/>
  </si>
  <si>
    <t>학습율</t>
    <phoneticPr fontId="1" type="noConversion"/>
  </si>
  <si>
    <t>A OR B</t>
    <phoneticPr fontId="1" type="noConversion"/>
  </si>
  <si>
    <t>A XOR B</t>
    <phoneticPr fontId="1" type="noConversion"/>
  </si>
  <si>
    <t>히든층 뉴런1</t>
    <phoneticPr fontId="1" type="noConversion"/>
  </si>
  <si>
    <t>히든층 뉴런2</t>
    <phoneticPr fontId="1" type="noConversion"/>
  </si>
  <si>
    <t>O_3</t>
    <phoneticPr fontId="1" type="noConversion"/>
  </si>
  <si>
    <t>O_4</t>
    <phoneticPr fontId="1" type="noConversion"/>
  </si>
  <si>
    <t>가중치</t>
    <phoneticPr fontId="1" type="noConversion"/>
  </si>
  <si>
    <t>O_5</t>
    <phoneticPr fontId="1" type="noConversion"/>
  </si>
  <si>
    <t>delta_weight1</t>
    <phoneticPr fontId="1" type="noConversion"/>
  </si>
  <si>
    <t>delta_weight2</t>
  </si>
  <si>
    <t>delta_weight3</t>
  </si>
  <si>
    <t>출력층</t>
    <phoneticPr fontId="1" type="noConversion"/>
  </si>
  <si>
    <t>delta_weight4</t>
  </si>
  <si>
    <t>delta_weight5</t>
  </si>
  <si>
    <t>delta_weight6</t>
  </si>
  <si>
    <t>delta_threshold1</t>
    <phoneticPr fontId="1" type="noConversion"/>
  </si>
  <si>
    <t>delta_threshold2</t>
  </si>
  <si>
    <t>delta_threshold3</t>
  </si>
  <si>
    <t>new_weight1</t>
    <phoneticPr fontId="1" type="noConversion"/>
  </si>
  <si>
    <t>new_weight2</t>
  </si>
  <si>
    <t>입력 행</t>
    <phoneticPr fontId="1" type="noConversion"/>
  </si>
  <si>
    <t>new_weight3</t>
  </si>
  <si>
    <t>오차</t>
    <phoneticPr fontId="1" type="noConversion"/>
  </si>
  <si>
    <t>new_weight4</t>
  </si>
  <si>
    <t>new_weight5</t>
  </si>
  <si>
    <t>new_weight6</t>
  </si>
  <si>
    <t>new_threshold1</t>
    <phoneticPr fontId="1" type="noConversion"/>
  </si>
  <si>
    <t>new_threshold2</t>
  </si>
  <si>
    <t>new_threshold3</t>
  </si>
  <si>
    <t>퍼지를 활용한 에어컨 제어</t>
    <rPh sb="10" eb="12">
      <t>スイロンクウチョウセイギョ</t>
    </rPh>
    <phoneticPr fontId="4"/>
  </si>
  <si>
    <t>소속 함수</t>
    <rPh sb="0" eb="5">
      <t>カンスウ</t>
    </rPh>
    <phoneticPr fontId="4"/>
  </si>
  <si>
    <t>온도</t>
    <rPh sb="0" eb="2">
      <t>オンド</t>
    </rPh>
    <phoneticPr fontId="4"/>
  </si>
  <si>
    <t>온도 ℃</t>
    <rPh sb="0" eb="2">
      <t>オンド</t>
    </rPh>
    <phoneticPr fontId="4"/>
  </si>
  <si>
    <t>높다</t>
    <rPh sb="0" eb="1">
      <t>タカ</t>
    </rPh>
    <phoneticPr fontId="4"/>
  </si>
  <si>
    <t>낮다</t>
    <rPh sb="0" eb="1">
      <t>ヒク</t>
    </rPh>
    <phoneticPr fontId="4"/>
  </si>
  <si>
    <t>습도</t>
    <rPh sb="0" eb="2">
      <t>シツド</t>
    </rPh>
    <phoneticPr fontId="4"/>
  </si>
  <si>
    <t>습도 %</t>
    <rPh sb="0" eb="2">
      <t>シツド</t>
    </rPh>
    <phoneticPr fontId="4"/>
  </si>
  <si>
    <t>에어컨 온도</t>
    <rPh sb="0" eb="2">
      <t>クウチョウ</t>
    </rPh>
    <rPh sb="2" eb="4">
      <t>セイギョ</t>
    </rPh>
    <phoneticPr fontId="4"/>
  </si>
  <si>
    <t>제어값</t>
    <rPh sb="0" eb="2">
      <t>セイギョ</t>
    </rPh>
    <rPh sb="2" eb="3">
      <t>アタイ</t>
    </rPh>
    <phoneticPr fontId="4"/>
  </si>
  <si>
    <t>강냉</t>
    <rPh sb="0" eb="1">
      <t>キョウ</t>
    </rPh>
    <rPh sb="1" eb="2">
      <t>レイ</t>
    </rPh>
    <phoneticPr fontId="4"/>
  </si>
  <si>
    <t>약냉</t>
    <rPh sb="0" eb="1">
      <t>ジャク</t>
    </rPh>
    <rPh sb="1" eb="2">
      <t>レイ</t>
    </rPh>
    <phoneticPr fontId="4"/>
  </si>
  <si>
    <t>약난</t>
    <rPh sb="0" eb="1">
      <t>ジャク</t>
    </rPh>
    <rPh sb="1" eb="2">
      <t>ダン</t>
    </rPh>
    <phoneticPr fontId="4"/>
  </si>
  <si>
    <t>강난</t>
    <rPh sb="0" eb="1">
      <t>キョウ</t>
    </rPh>
    <rPh sb="1" eb="2">
      <t>ダン</t>
    </rPh>
    <phoneticPr fontId="4"/>
  </si>
  <si>
    <t>퍼지 룰</t>
    <phoneticPr fontId="4"/>
  </si>
  <si>
    <t>룰1</t>
    <phoneticPr fontId="4"/>
  </si>
  <si>
    <t>룰2</t>
    <phoneticPr fontId="4"/>
  </si>
  <si>
    <t>룰3</t>
    <phoneticPr fontId="9" type="noConversion"/>
  </si>
  <si>
    <t>룰4</t>
    <phoneticPr fontId="9" type="noConversion"/>
  </si>
  <si>
    <t>퍼지 추론</t>
    <rPh sb="0" eb="5">
      <t>スイロン</t>
    </rPh>
    <phoneticPr fontId="4"/>
  </si>
  <si>
    <t>에어컨 온도</t>
    <rPh sb="0" eb="2">
      <t>クウチョウ</t>
    </rPh>
    <rPh sb="2" eb="4">
      <t>セイギョ</t>
    </rPh>
    <rPh sb="4" eb="5">
      <t>アタイ</t>
    </rPh>
    <phoneticPr fontId="4"/>
  </si>
  <si>
    <t>℃</t>
    <phoneticPr fontId="4"/>
  </si>
  <si>
    <t>％</t>
    <phoneticPr fontId="4"/>
  </si>
  <si>
    <t>퍼지 추론과정</t>
    <rPh sb="5" eb="7">
      <t>スイロンカテイ</t>
    </rPh>
    <phoneticPr fontId="4"/>
  </si>
  <si>
    <t>MIN</t>
    <phoneticPr fontId="4"/>
  </si>
  <si>
    <t>강냉</t>
    <rPh sb="0" eb="1">
      <t>ジャク</t>
    </rPh>
    <rPh sb="1" eb="2">
      <t>レイ</t>
    </rPh>
    <phoneticPr fontId="4"/>
  </si>
  <si>
    <t>약냉</t>
    <rPh sb="0" eb="1">
      <t>キョウ</t>
    </rPh>
    <rPh sb="1" eb="2">
      <t>レイ</t>
    </rPh>
    <phoneticPr fontId="4"/>
  </si>
  <si>
    <t>약난</t>
    <rPh sb="0" eb="1">
      <t>ジャク</t>
    </rPh>
    <rPh sb="1" eb="2">
      <t>レイ</t>
    </rPh>
    <phoneticPr fontId="4"/>
  </si>
  <si>
    <t>강난</t>
    <rPh sb="0" eb="1">
      <t>ジャク</t>
    </rPh>
    <rPh sb="1" eb="2">
      <t>ダン</t>
    </rPh>
    <phoneticPr fontId="4"/>
  </si>
  <si>
    <t>MAX</t>
    <phoneticPr fontId="4"/>
  </si>
  <si>
    <t>합성 함수(MAX)의 중심법에 의해 제어값 p를 구하는 방법</t>
    <rPh sb="0" eb="2">
      <t>ゴウセイ</t>
    </rPh>
    <rPh sb="2" eb="4">
      <t>カンスウ</t>
    </rPh>
    <rPh sb="10" eb="12">
      <t>ジュウシン</t>
    </rPh>
    <rPh sb="12" eb="13">
      <t>ホウ</t>
    </rPh>
    <rPh sb="16" eb="18">
      <t>セイギョ</t>
    </rPh>
    <rPh sb="18" eb="19">
      <t>アタイ</t>
    </rPh>
    <rPh sb="21" eb="22">
      <t>モト</t>
    </rPh>
    <rPh sb="23" eb="24">
      <t>カタ</t>
    </rPh>
    <phoneticPr fontId="4"/>
  </si>
  <si>
    <t>① 합성 함수의 제어값 -10～10의 범위 면적=S</t>
    <rPh sb="1" eb="3">
      <t>ゴウセイ</t>
    </rPh>
    <rPh sb="3" eb="5">
      <t>カンスウ</t>
    </rPh>
    <rPh sb="6" eb="8">
      <t>セイギョ</t>
    </rPh>
    <rPh sb="8" eb="9">
      <t>アタイ</t>
    </rPh>
    <rPh sb="16" eb="18">
      <t>ハンイ</t>
    </rPh>
    <rPh sb="19" eb="21">
      <t>メンセキ</t>
    </rPh>
    <phoneticPr fontId="4"/>
  </si>
  <si>
    <t>② 제어값 -10부터 +방향으로 합성 함수의 값을 누적</t>
    <rPh sb="1" eb="3">
      <t>セイギョ</t>
    </rPh>
    <rPh sb="3" eb="4">
      <t>アタイ</t>
    </rPh>
    <rPh sb="10" eb="12">
      <t>ホウコウ</t>
    </rPh>
    <rPh sb="13" eb="15">
      <t>ゴウセイ</t>
    </rPh>
    <rPh sb="15" eb="17">
      <t>カンスウ</t>
    </rPh>
    <rPh sb="18" eb="19">
      <t>アタイ</t>
    </rPh>
    <rPh sb="20" eb="22">
      <t>セキサン</t>
    </rPh>
    <phoneticPr fontId="4"/>
  </si>
  <si>
    <t>　 S/2가 되는 ( 또는 넘는) 위치의 제어값 -&gt;ｐ　</t>
    <rPh sb="13" eb="14">
      <t>コ</t>
    </rPh>
    <rPh sb="17" eb="19">
      <t>イチ</t>
    </rPh>
    <rPh sb="20" eb="22">
      <t>セイギョ</t>
    </rPh>
    <rPh sb="22" eb="23">
      <t>アタイ</t>
    </rPh>
    <phoneticPr fontId="4"/>
  </si>
  <si>
    <t>주) Y 축 방향은 무관하므로 정확한 중심은 불필요</t>
    <rPh sb="0" eb="1">
      <t>チュウ</t>
    </rPh>
    <rPh sb="3" eb="4">
      <t>ジク</t>
    </rPh>
    <rPh sb="4" eb="6">
      <t>ホウコウ</t>
    </rPh>
    <rPh sb="7" eb="10">
      <t>ムカンケイ</t>
    </rPh>
    <rPh sb="13" eb="15">
      <t>ゲンミツ</t>
    </rPh>
    <rPh sb="16" eb="18">
      <t>ジュウシン</t>
    </rPh>
    <rPh sb="19" eb="21">
      <t>フヨウ</t>
    </rPh>
    <phoneticPr fontId="4"/>
  </si>
  <si>
    <t>비퍼지화 매크로</t>
    <phoneticPr fontId="4"/>
  </si>
  <si>
    <t xml:space="preserve"> R1～R6의 Membership 함수의 합성 함수(MAX)</t>
    <rPh sb="17" eb="19">
      <t>カンスウ</t>
    </rPh>
    <rPh sb="20" eb="22">
      <t>ゴウセイ</t>
    </rPh>
    <rPh sb="22" eb="24">
      <t>カンスウ</t>
    </rPh>
    <phoneticPr fontId="4"/>
  </si>
  <si>
    <t>질병 진단 전문가 시스템</t>
    <rPh sb="6" eb="8">
      <t>ビョウキ</t>
    </rPh>
    <rPh sb="8" eb="10">
      <t>シンダンマエムスイロン</t>
    </rPh>
    <phoneticPr fontId="4"/>
  </si>
  <si>
    <t>증상</t>
    <rPh sb="0" eb="2">
      <t>モンシンヒョウ</t>
    </rPh>
    <phoneticPr fontId="4"/>
  </si>
  <si>
    <t>질병</t>
    <rPh sb="0" eb="2">
      <t>ビョウメイ</t>
    </rPh>
    <phoneticPr fontId="4"/>
  </si>
  <si>
    <t>열이 있습니까?</t>
    <rPh sb="0" eb="1">
      <t>ネツ</t>
    </rPh>
    <phoneticPr fontId="4"/>
  </si>
  <si>
    <t>예</t>
  </si>
  <si>
    <t>아니오</t>
  </si>
  <si>
    <t>인플루엔자</t>
    <phoneticPr fontId="4"/>
  </si>
  <si>
    <t>목이 통증이 있습니까?</t>
    <rPh sb="6" eb="8">
      <t>コウネツ</t>
    </rPh>
    <phoneticPr fontId="4"/>
  </si>
  <si>
    <t>감기</t>
    <phoneticPr fontId="9" type="noConversion"/>
  </si>
  <si>
    <t>기침을 합니까?</t>
    <rPh sb="0" eb="1">
      <t>セキ</t>
    </rPh>
    <rPh sb="2" eb="3">
      <t>デ</t>
    </rPh>
    <phoneticPr fontId="4"/>
  </si>
  <si>
    <t>폐렴</t>
    <rPh sb="0" eb="2">
      <t>チュウジエン</t>
    </rPh>
    <phoneticPr fontId="4"/>
  </si>
  <si>
    <t>콧물이 나옵니까?</t>
    <rPh sb="0" eb="2">
      <t>ズツウ</t>
    </rPh>
    <phoneticPr fontId="4"/>
  </si>
  <si>
    <t>간염</t>
    <phoneticPr fontId="9" type="noConversion"/>
  </si>
  <si>
    <t>가래가 나옵니까?</t>
    <rPh sb="0" eb="1">
      <t>タン</t>
    </rPh>
    <rPh sb="2" eb="3">
      <t>デ</t>
    </rPh>
    <phoneticPr fontId="4"/>
  </si>
  <si>
    <t>간암</t>
    <phoneticPr fontId="9" type="noConversion"/>
  </si>
  <si>
    <t>두통이 있습니까?</t>
    <rPh sb="0" eb="1">
      <t>アタマ</t>
    </rPh>
    <rPh sb="2" eb="3">
      <t>キュウ</t>
    </rPh>
    <rPh sb="4" eb="5">
      <t>ハゲ</t>
    </rPh>
    <rPh sb="7" eb="8">
      <t>イタ</t>
    </rPh>
    <phoneticPr fontId="4"/>
  </si>
  <si>
    <t>오한이 납니까?</t>
    <rPh sb="0" eb="2">
      <t>サムケ</t>
    </rPh>
    <phoneticPr fontId="4"/>
  </si>
  <si>
    <t>근육통이 있습니까?</t>
    <rPh sb="0" eb="3">
      <t>ケンタイカン</t>
    </rPh>
    <phoneticPr fontId="4"/>
  </si>
  <si>
    <t>호흡곤란이 있습니까?</t>
    <rPh sb="0" eb="1">
      <t>セキ</t>
    </rPh>
    <rPh sb="2" eb="3">
      <t>デ</t>
    </rPh>
    <phoneticPr fontId="4"/>
  </si>
  <si>
    <t>피로 권태감이 있습니까?</t>
    <rPh sb="0" eb="1">
      <t>タン</t>
    </rPh>
    <rPh sb="2" eb="3">
      <t>デ</t>
    </rPh>
    <phoneticPr fontId="4"/>
  </si>
  <si>
    <t>피부가 가렵습니까?</t>
    <rPh sb="0" eb="2">
      <t>カラダ</t>
    </rPh>
    <rPh sb="8" eb="9">
      <t>イタ</t>
    </rPh>
    <phoneticPr fontId="4"/>
  </si>
  <si>
    <t>배에 복수가 찹니까?</t>
    <rPh sb="0" eb="2">
      <t>カラダ</t>
    </rPh>
    <phoneticPr fontId="4"/>
  </si>
  <si>
    <t>우측 상복부 답답 합니까?</t>
    <rPh sb="0" eb="2">
      <t>キョウツウ</t>
    </rPh>
    <phoneticPr fontId="4"/>
  </si>
  <si>
    <t>황달입니까?</t>
    <rPh sb="0" eb="1">
      <t>ノド</t>
    </rPh>
    <rPh sb="2" eb="3">
      <t>イタ</t>
    </rPh>
    <phoneticPr fontId="4"/>
  </si>
  <si>
    <t>체중이 감소합니까?</t>
    <rPh sb="0" eb="1">
      <t>ハ</t>
    </rPh>
    <rPh sb="2" eb="3">
      <t>ケ</t>
    </rPh>
    <phoneticPr fontId="4"/>
  </si>
  <si>
    <t>오른쪽 윗배에 덩어리가 만져집니까?</t>
    <rPh sb="0" eb="2">
      <t>フクツウ</t>
    </rPh>
    <phoneticPr fontId="4"/>
  </si>
  <si>
    <t>생성 규칙</t>
    <phoneticPr fontId="4"/>
  </si>
  <si>
    <t>질병리스트</t>
    <rPh sb="0" eb="2">
      <t>ビョウメイ</t>
    </rPh>
    <phoneticPr fontId="4"/>
  </si>
  <si>
    <t>No.</t>
    <phoneticPr fontId="4"/>
  </si>
  <si>
    <t>증상</t>
    <rPh sb="0" eb="2">
      <t>ショウジョウ</t>
    </rPh>
    <phoneticPr fontId="4"/>
  </si>
  <si>
    <t>열이 있다</t>
    <rPh sb="0" eb="1">
      <t>ネツ</t>
    </rPh>
    <phoneticPr fontId="4"/>
  </si>
  <si>
    <t>목에 통증</t>
    <rPh sb="0" eb="2">
      <t>コウネツ</t>
    </rPh>
    <phoneticPr fontId="4"/>
  </si>
  <si>
    <t>기침을한다</t>
    <rPh sb="0" eb="2">
      <t>ビネツミマン</t>
    </rPh>
    <phoneticPr fontId="4"/>
  </si>
  <si>
    <t>콧물 나온다</t>
    <rPh sb="0" eb="2">
      <t>ズツウ</t>
    </rPh>
    <phoneticPr fontId="4"/>
  </si>
  <si>
    <t>가래 나온다</t>
    <rPh sb="0" eb="1">
      <t>アタマイタ</t>
    </rPh>
    <phoneticPr fontId="4"/>
  </si>
  <si>
    <t>두통있다</t>
    <rPh sb="0" eb="1">
      <t>アタマ</t>
    </rPh>
    <rPh sb="2" eb="3">
      <t>キュウハゲイタ</t>
    </rPh>
    <phoneticPr fontId="4"/>
  </si>
  <si>
    <t>오한이 난다</t>
    <rPh sb="0" eb="2">
      <t>サムケ</t>
    </rPh>
    <phoneticPr fontId="4"/>
  </si>
  <si>
    <t>근육통이 있다.</t>
    <rPh sb="0" eb="3">
      <t>ケンタイカン</t>
    </rPh>
    <phoneticPr fontId="4"/>
  </si>
  <si>
    <t>호흡곤란이 있다.</t>
    <rPh sb="0" eb="1">
      <t>セキ</t>
    </rPh>
    <rPh sb="2" eb="3">
      <t>デ</t>
    </rPh>
    <phoneticPr fontId="4"/>
  </si>
  <si>
    <t>피로, 권태감있다.</t>
    <rPh sb="0" eb="1">
      <t>タン</t>
    </rPh>
    <rPh sb="2" eb="3">
      <t>デ</t>
    </rPh>
    <phoneticPr fontId="4"/>
  </si>
  <si>
    <t>피부가 가렵다</t>
    <rPh sb="0" eb="2">
      <t>カラダイタ</t>
    </rPh>
    <phoneticPr fontId="4"/>
  </si>
  <si>
    <t>배에 복수가 차다</t>
    <rPh sb="0" eb="1">
      <t>セキ</t>
    </rPh>
    <rPh sb="2" eb="3">
      <t>デ</t>
    </rPh>
    <phoneticPr fontId="4"/>
  </si>
  <si>
    <t>우측상복부가 답답하다.</t>
    <rPh sb="0" eb="1">
      <t>タン</t>
    </rPh>
    <rPh sb="2" eb="3">
      <t>デ</t>
    </rPh>
    <phoneticPr fontId="4"/>
  </si>
  <si>
    <t>황달이다</t>
    <rPh sb="0" eb="2">
      <t>カラダイタ</t>
    </rPh>
    <phoneticPr fontId="4"/>
  </si>
  <si>
    <t>체종이 감소한다.</t>
    <rPh sb="0" eb="1">
      <t>ハ</t>
    </rPh>
    <rPh sb="2" eb="3">
      <t>ケ</t>
    </rPh>
    <phoneticPr fontId="4"/>
  </si>
  <si>
    <t>오른쪽 윗배에 덩어리가 만져짐</t>
    <rPh sb="0" eb="2">
      <t>フクツウ</t>
    </rPh>
    <phoneticPr fontId="4"/>
  </si>
  <si>
    <t>적합도 평가</t>
    <rPh sb="0" eb="3">
      <t>テキオウド</t>
    </rPh>
    <rPh sb="3" eb="5">
      <t>ヒョウカカクソウゾクガクサブンゼッタイチワチイテキオウドタカチュウテキオウドサイテイサイコウオカテキオウドキュウアタイ</t>
    </rPh>
    <phoneticPr fontId="4"/>
  </si>
  <si>
    <t>염색체 수</t>
    <rPh sb="0" eb="3">
      <t>イデンシ</t>
    </rPh>
    <rPh sb="3" eb="4">
      <t>スウ</t>
    </rPh>
    <phoneticPr fontId="4"/>
  </si>
  <si>
    <t>교차점</t>
    <phoneticPr fontId="4"/>
  </si>
  <si>
    <t>적합도</t>
    <rPh sb="0" eb="3">
      <t>テキオウド</t>
    </rPh>
    <phoneticPr fontId="4"/>
  </si>
  <si>
    <t>순위</t>
    <rPh sb="0" eb="2">
      <t>ジュンイ</t>
    </rPh>
    <phoneticPr fontId="4"/>
  </si>
  <si>
    <t>쌍</t>
    <phoneticPr fontId="4"/>
  </si>
  <si>
    <t>디코딩</t>
    <phoneticPr fontId="4"/>
  </si>
  <si>
    <t>적합도비율</t>
    <phoneticPr fontId="4"/>
  </si>
  <si>
    <t>G1</t>
    <phoneticPr fontId="4"/>
  </si>
  <si>
    <t>G2</t>
    <phoneticPr fontId="4"/>
  </si>
  <si>
    <t>G3</t>
    <phoneticPr fontId="4"/>
  </si>
  <si>
    <t>마스크 패턴</t>
    <rPh sb="0" eb="6">
      <t>イデンシスウハンスウセッテイ</t>
    </rPh>
    <phoneticPr fontId="4"/>
  </si>
  <si>
    <t>G4</t>
    <phoneticPr fontId="4"/>
  </si>
  <si>
    <t>M1</t>
    <phoneticPr fontId="4"/>
  </si>
  <si>
    <t>G5</t>
    <phoneticPr fontId="4"/>
  </si>
  <si>
    <t>M2</t>
    <phoneticPr fontId="4"/>
  </si>
  <si>
    <t>G6</t>
    <phoneticPr fontId="4"/>
  </si>
  <si>
    <t>M3</t>
    <phoneticPr fontId="4"/>
  </si>
  <si>
    <t>G7</t>
    <phoneticPr fontId="4"/>
  </si>
  <si>
    <t>M4</t>
    <phoneticPr fontId="4"/>
  </si>
  <si>
    <t>G8</t>
    <phoneticPr fontId="4"/>
  </si>
  <si>
    <t>이진 염색체</t>
    <phoneticPr fontId="4"/>
  </si>
  <si>
    <t>염색체 초기 집단</t>
    <rPh sb="0" eb="3">
      <t>イデンシ</t>
    </rPh>
    <rPh sb="3" eb="5">
      <t>ショキ</t>
    </rPh>
    <rPh sb="5" eb="7">
      <t>シュウダン</t>
    </rPh>
    <phoneticPr fontId="4"/>
  </si>
  <si>
    <t>교차 전</t>
    <rPh sb="0" eb="2">
      <t>コウサ</t>
    </rPh>
    <rPh sb="2" eb="3">
      <t>マエイッカイマエコウサゴイデンシシュウダンテキオウドヒョウカゴイロヅギョウテキオウドサイコウテキオウドサイテイサイコウオカ</t>
    </rPh>
    <phoneticPr fontId="4"/>
  </si>
  <si>
    <t>교차 후</t>
    <rPh sb="0" eb="2">
      <t>コウサ</t>
    </rPh>
    <rPh sb="2" eb="3">
      <t>ゴホゾンテキオウドサイテイヒトサイコウオカスミジュンイモトコウサシタガコウサ</t>
    </rPh>
    <phoneticPr fontId="4"/>
  </si>
  <si>
    <t>G2</t>
  </si>
  <si>
    <t>G3</t>
  </si>
  <si>
    <t>G4</t>
  </si>
  <si>
    <t>G5</t>
  </si>
  <si>
    <t>G6</t>
  </si>
  <si>
    <t>G7</t>
  </si>
  <si>
    <t>G8</t>
  </si>
  <si>
    <t>최적해</t>
    <rPh sb="0" eb="2">
      <t>サイリョウ</t>
    </rPh>
    <rPh sb="2" eb="3">
      <t>カイ</t>
    </rPh>
    <phoneticPr fontId="4"/>
  </si>
  <si>
    <t>No</t>
    <rPh sb="0" eb="2">
      <t>ソウゾクニン</t>
    </rPh>
    <phoneticPr fontId="4"/>
  </si>
  <si>
    <t>최대값</t>
    <rPh sb="0" eb="2">
      <t>ソウゾク</t>
    </rPh>
    <rPh sb="2" eb="3">
      <t>ガク</t>
    </rPh>
    <phoneticPr fontId="4"/>
  </si>
  <si>
    <t>세대:</t>
    <phoneticPr fontId="4"/>
  </si>
  <si>
    <t>유전 알고리즘의 연속 실행</t>
    <rPh sb="0" eb="3">
      <t>イデンテキ</t>
    </rPh>
    <rPh sb="10" eb="12">
      <t>レンゾク</t>
    </rPh>
    <rPh sb="12" eb="14">
      <t>ジッコウ</t>
    </rPh>
    <phoneticPr fontId="4"/>
  </si>
  <si>
    <t>① 교차 횟수(Q) 입력</t>
    <rPh sb="1" eb="3">
      <t>コウサ</t>
    </rPh>
    <rPh sb="3" eb="5">
      <t>カイスウ</t>
    </rPh>
    <rPh sb="9" eb="11">
      <t>ニュウリョク</t>
    </rPh>
    <phoneticPr fontId="4"/>
  </si>
  <si>
    <r>
      <t xml:space="preserve">①～③ 입력후, </t>
    </r>
    <r>
      <rPr>
        <sz val="10"/>
        <color rgb="FF0000FF"/>
        <rFont val="맑은 고딕"/>
        <family val="3"/>
        <charset val="129"/>
        <scheme val="minor"/>
      </rPr>
      <t>GA 실행 버튼</t>
    </r>
    <r>
      <rPr>
        <sz val="10"/>
        <color theme="1"/>
        <rFont val="맑은 고딕"/>
        <family val="2"/>
        <charset val="128"/>
        <scheme val="minor"/>
      </rPr>
      <t>을 누른다.</t>
    </r>
    <phoneticPr fontId="4"/>
  </si>
  <si>
    <t>　</t>
    <phoneticPr fontId="4"/>
  </si>
  <si>
    <t>오차는 '적응도/상속 총액'으로 구하며, 허용오차(ε) 이하가 되면 성공</t>
    <rPh sb="0" eb="2">
      <t>ゴサ</t>
    </rPh>
    <rPh sb="4" eb="7">
      <t>テキオウド</t>
    </rPh>
    <rPh sb="8" eb="10">
      <t>ソウゾク</t>
    </rPh>
    <rPh sb="10" eb="12">
      <t>ソウガク</t>
    </rPh>
    <rPh sb="14" eb="15">
      <t>モト</t>
    </rPh>
    <rPh sb="17" eb="19">
      <t>キョヨウ</t>
    </rPh>
    <rPh sb="19" eb="21">
      <t>ゴサ</t>
    </rPh>
    <rPh sb="24" eb="26">
      <t>イカ</t>
    </rPh>
    <rPh sb="30" eb="32">
      <t>セイコウ</t>
    </rPh>
    <phoneticPr fontId="4"/>
  </si>
  <si>
    <t>돌연변이 간격(W)은 교차 횟수 W마다 돌연변이를 실시하며, 0은 돌연없이가 없다.</t>
    <rPh sb="0" eb="2">
      <t>トツゼン</t>
    </rPh>
    <rPh sb="2" eb="4">
      <t>ヘンイ</t>
    </rPh>
    <rPh sb="4" eb="6">
      <t>カンカク</t>
    </rPh>
    <rPh sb="10" eb="12">
      <t>コウサ</t>
    </rPh>
    <rPh sb="13" eb="14">
      <t>カイ</t>
    </rPh>
    <rPh sb="17" eb="19">
      <t>トツゼン</t>
    </rPh>
    <rPh sb="19" eb="21">
      <t>ヘンイ</t>
    </rPh>
    <rPh sb="21" eb="23">
      <t>ジッシ</t>
    </rPh>
    <rPh sb="26" eb="28">
      <t>トツゼン</t>
    </rPh>
    <rPh sb="28" eb="30">
      <t>ヘンイ</t>
    </rPh>
    <phoneticPr fontId="4"/>
  </si>
  <si>
    <t>② 허용 오차율(ε) 입력</t>
    <rPh sb="1" eb="3">
      <t>キョヨウ</t>
    </rPh>
    <rPh sb="3" eb="5">
      <t>ゴサ</t>
    </rPh>
    <rPh sb="5" eb="6">
      <t>リツ</t>
    </rPh>
    <rPh sb="10" eb="12">
      <t>ニュウリョク</t>
    </rPh>
    <phoneticPr fontId="4"/>
  </si>
  <si>
    <t>GA 실행에 따른 적응도 변화는 아래에 기록</t>
    <rPh sb="13" eb="15">
      <t>カキ</t>
    </rPh>
    <rPh sb="16" eb="18">
      <t>キロク</t>
    </rPh>
    <phoneticPr fontId="4"/>
  </si>
  <si>
    <t xml:space="preserve"> 　　ε에 상응하는 적응도</t>
    <rPh sb="5" eb="7">
      <t>ソウトウ</t>
    </rPh>
    <rPh sb="9" eb="12">
      <t>テキオウド</t>
    </rPh>
    <phoneticPr fontId="4"/>
  </si>
  <si>
    <t>GA実行</t>
    <rPh sb="2" eb="4">
      <t>ジッコウ</t>
    </rPh>
    <phoneticPr fontId="4"/>
  </si>
  <si>
    <t>③ 돌연변이 간격(W)</t>
    <rPh sb="1" eb="3">
      <t>トツゼン</t>
    </rPh>
    <rPh sb="3" eb="5">
      <t>ヘンイ</t>
    </rPh>
    <rPh sb="5" eb="7">
      <t>カンカク</t>
    </rPh>
    <phoneticPr fontId="4"/>
  </si>
  <si>
    <t>　　default : 0 (돌연변이 없음)</t>
    <rPh sb="15" eb="17">
      <t>トツゼン</t>
    </rPh>
    <rPh sb="17" eb="19">
      <t>ヘンイ</t>
    </rPh>
    <phoneticPr fontId="4"/>
  </si>
  <si>
    <t>상속인</t>
    <rPh sb="1" eb="3">
      <t>ソウゾクニン</t>
    </rPh>
    <phoneticPr fontId="4"/>
  </si>
  <si>
    <t>A</t>
    <phoneticPr fontId="4"/>
  </si>
  <si>
    <t>B</t>
    <phoneticPr fontId="4"/>
  </si>
  <si>
    <t>C</t>
    <phoneticPr fontId="4"/>
  </si>
  <si>
    <t>D</t>
    <phoneticPr fontId="4"/>
  </si>
  <si>
    <t>E</t>
    <phoneticPr fontId="4"/>
  </si>
  <si>
    <t>F</t>
    <phoneticPr fontId="4"/>
  </si>
  <si>
    <t>G</t>
    <phoneticPr fontId="4"/>
  </si>
  <si>
    <t>H</t>
    <phoneticPr fontId="4"/>
  </si>
  <si>
    <t>상속액</t>
    <rPh sb="1" eb="3">
      <t>ソウゾクガク</t>
    </rPh>
    <phoneticPr fontId="4"/>
  </si>
  <si>
    <t>차이</t>
    <rPh sb="0" eb="2">
      <t>サブン</t>
    </rPh>
    <phoneticPr fontId="4"/>
  </si>
  <si>
    <t>비율 차이</t>
    <rPh sb="1" eb="3">
      <t>ヒリツ</t>
    </rPh>
    <rPh sb="3" eb="4">
      <t>サ</t>
    </rPh>
    <phoneticPr fontId="4"/>
  </si>
  <si>
    <t>최고 적응도</t>
    <rPh sb="0" eb="2">
      <t>サイシュウ</t>
    </rPh>
    <rPh sb="2" eb="5">
      <t>テキオウド</t>
    </rPh>
    <phoneticPr fontId="4"/>
  </si>
  <si>
    <t>오차율</t>
    <rPh sb="0" eb="2">
      <t>ゴサ</t>
    </rPh>
    <rPh sb="2" eb="3">
      <t>リツ</t>
    </rPh>
    <phoneticPr fontId="4"/>
  </si>
  <si>
    <t>ε 횟수</t>
    <rPh sb="1" eb="3">
      <t>カイスウ</t>
    </rPh>
    <phoneticPr fontId="4"/>
  </si>
  <si>
    <t>평균 적응도</t>
    <rPh sb="0" eb="2">
      <t>ヘイキン</t>
    </rPh>
    <rPh sb="2" eb="5">
      <t>テキオウド</t>
    </rPh>
    <phoneticPr fontId="4"/>
  </si>
  <si>
    <t xml:space="preserve"> (오차율이 ε 이하가 될 때까지의 GA 횟수)</t>
    <rPh sb="1" eb="3">
      <t>ゴサ</t>
    </rPh>
    <rPh sb="3" eb="4">
      <t>リツ</t>
    </rPh>
    <phoneticPr fontId="4"/>
  </si>
  <si>
    <t>교차 횟수에 따른 적응도 변화</t>
    <rPh sb="0" eb="2">
      <t>コウサ</t>
    </rPh>
    <rPh sb="2" eb="4">
      <t>カイスウ</t>
    </rPh>
    <rPh sb="7" eb="10">
      <t>テキオウド</t>
    </rPh>
    <rPh sb="10" eb="12">
      <t>ヘンカ</t>
    </rPh>
    <phoneticPr fontId="4"/>
  </si>
  <si>
    <r>
      <t>눈금 한 칸 P = Q/30</t>
    </r>
    <r>
      <rPr>
        <sz val="9"/>
        <color theme="1"/>
        <rFont val="맑은 고딕"/>
        <family val="3"/>
        <charset val="128"/>
        <scheme val="minor"/>
      </rPr>
      <t>　(GA 반복 P회마다 최고 적응도, 평균 적응도 기록)</t>
    </r>
    <rPh sb="1" eb="3">
      <t>メモ</t>
    </rPh>
    <rPh sb="20" eb="22">
      <t>バアイ</t>
    </rPh>
    <rPh sb="26" eb="29">
      <t>ショウスウテン</t>
    </rPh>
    <rPh sb="29" eb="31">
      <t>イカ</t>
    </rPh>
    <rPh sb="32" eb="33">
      <t>キ</t>
    </rPh>
    <rPh sb="34" eb="35">
      <t>ア</t>
    </rPh>
    <rPh sb="40" eb="42">
      <t>クリカエ</t>
    </rPh>
    <rPh sb="45" eb="46">
      <t>カイサイコウテキオウドヘイキンテキオウドキロク</t>
    </rPh>
    <phoneticPr fontId="4"/>
  </si>
  <si>
    <t>횟수</t>
    <rPh sb="0" eb="2">
      <t>カイスウ</t>
    </rPh>
    <phoneticPr fontId="4"/>
  </si>
  <si>
    <t>적응도 최고</t>
    <rPh sb="0" eb="3">
      <t>テキオウド</t>
    </rPh>
    <rPh sb="3" eb="5">
      <t>サイコウ</t>
    </rPh>
    <phoneticPr fontId="4"/>
  </si>
  <si>
    <t>적응도 평균</t>
    <rPh sb="0" eb="3">
      <t>テキオウド</t>
    </rPh>
    <rPh sb="3" eb="5">
      <t>ヘイキン</t>
    </rPh>
    <phoneticPr fontId="4"/>
  </si>
  <si>
    <t>ε-line</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</si>
</sst>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0_ "/>
  </numFmts>
  <fonts count="25" x14ac:knownFonts="1">
    <font>
      <sz val="11"/>
      <color theme="1"/>
      <name val="맑은 고딕"/>
      <family val="2"/>
      <charset val="129"/>
      <scheme val="minor"/>
    </font>
    <font>
      <sz val="8"/>
      <name val="맑은 고딕"/>
      <family val="2"/>
      <charset val="129"/>
      <scheme val="minor"/>
    </font>
    <font>
      <b/>
      <sz val="11"/>
      <color rgb="FF0000FF"/>
      <name val="맑은 고딕"/>
      <family val="3"/>
      <charset val="129"/>
    </font>
    <font>
      <sz val="12"/>
      <color theme="1"/>
      <name val="맑은 고딕"/>
      <family val="3"/>
      <charset val="129"/>
      <scheme val="minor"/>
    </font>
    <font>
      <sz val="6"/>
      <name val="맑은 고딕"/>
      <family val="2"/>
      <charset val="128"/>
      <scheme val="minor"/>
    </font>
    <font>
      <b/>
      <sz val="12"/>
      <color theme="1"/>
      <name val="맑은 고딕"/>
      <family val="3"/>
      <charset val="128"/>
      <scheme val="minor"/>
    </font>
    <font>
      <sz val="8"/>
      <color theme="1"/>
      <name val="맑은 고딕"/>
      <family val="2"/>
      <charset val="128"/>
      <scheme val="minor"/>
    </font>
    <font>
      <sz val="10"/>
      <color theme="1"/>
      <name val="맑은 고딕"/>
      <family val="2"/>
      <charset val="128"/>
      <scheme val="minor"/>
    </font>
    <font>
      <sz val="10"/>
      <color theme="1"/>
      <name val="맑은 고딕"/>
      <family val="3"/>
      <charset val="128"/>
      <scheme val="minor"/>
    </font>
    <font>
      <sz val="8"/>
      <name val="맑은 고딕"/>
      <family val="3"/>
      <charset val="129"/>
      <scheme val="minor"/>
    </font>
    <font>
      <sz val="11"/>
      <color theme="1"/>
      <name val="맑은 고딕"/>
      <family val="3"/>
      <charset val="128"/>
      <scheme val="minor"/>
    </font>
    <font>
      <sz val="11"/>
      <color theme="1"/>
      <name val="맑은 고딕"/>
      <family val="3"/>
      <charset val="129"/>
      <scheme val="minor"/>
    </font>
    <font>
      <b/>
      <sz val="11"/>
      <color rgb="FF000000"/>
      <name val="맑은 고딕"/>
      <family val="3"/>
      <charset val="129"/>
    </font>
    <font>
      <b/>
      <sz val="10"/>
      <color rgb="FF000000"/>
      <name val="맑은 고딕"/>
      <family val="3"/>
      <charset val="129"/>
    </font>
    <font>
      <sz val="10"/>
      <name val="맑은 고딕"/>
      <family val="3"/>
      <charset val="128"/>
      <scheme val="minor"/>
    </font>
    <font>
      <sz val="10"/>
      <name val="맑은 고딕"/>
      <family val="3"/>
      <charset val="129"/>
      <scheme val="minor"/>
    </font>
    <font>
      <sz val="8"/>
      <color theme="1"/>
      <name val="맑은 고딕"/>
      <family val="3"/>
      <charset val="128"/>
      <scheme val="minor"/>
    </font>
    <font>
      <sz val="9"/>
      <color theme="1"/>
      <name val="맑은 고딕"/>
      <family val="3"/>
      <charset val="128"/>
      <scheme val="minor"/>
    </font>
    <font>
      <sz val="9"/>
      <color theme="1"/>
      <name val="맑은 고딕"/>
      <family val="3"/>
      <charset val="129"/>
      <scheme val="minor"/>
    </font>
    <font>
      <sz val="11"/>
      <color rgb="FF0000FF"/>
      <name val="맑은 고딕"/>
      <family val="3"/>
      <charset val="129"/>
    </font>
    <font>
      <sz val="10"/>
      <color theme="1"/>
      <name val="맑은 고딕"/>
      <family val="3"/>
      <charset val="129"/>
      <scheme val="minor"/>
    </font>
    <font>
      <sz val="9"/>
      <color theme="1"/>
      <name val="맑은 고딕"/>
      <family val="2"/>
      <charset val="128"/>
      <scheme val="minor"/>
    </font>
    <font>
      <b/>
      <sz val="11"/>
      <color theme="1"/>
      <name val="맑은 고딕"/>
      <family val="3"/>
      <charset val="128"/>
      <scheme val="minor"/>
    </font>
    <font>
      <sz val="10"/>
      <color rgb="FF0000FF"/>
      <name val="맑은 고딕"/>
      <family val="3"/>
      <charset val="129"/>
      <scheme val="minor"/>
    </font>
    <font>
      <sz val="6"/>
      <color theme="1"/>
      <name val="맑은 고딕"/>
      <family val="2"/>
      <charset val="128"/>
      <scheme val="minor"/>
    </font>
  </fonts>
  <fills count="7">
    <fill>
      <patternFill patternType="none"/>
    </fill>
    <fill>
      <patternFill patternType="gray125"/>
    </fill>
    <fill>
      <patternFill patternType="solid">
        <fgColor theme="0" tint="-0.24994659260841701"/>
        <bgColor indexed="64"/>
      </patternFill>
    </fill>
    <fill>
      <patternFill patternType="solid">
        <fgColor indexed="12"/>
        <bgColor indexed="64"/>
      </patternFill>
    </fill>
    <fill>
      <patternFill patternType="solid">
        <fgColor rgb="FFFFFF00"/>
        <bgColor indexed="64"/>
      </patternFill>
    </fill>
    <fill>
      <patternFill patternType="solid">
        <fgColor rgb="FFFFFFCC"/>
        <bgColor indexed="64"/>
      </patternFill>
    </fill>
    <fill>
      <patternFill patternType="solid">
        <fgColor indexed="1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auto="1"/>
      </left>
      <right/>
      <top/>
      <bottom/>
      <diagonal/>
    </border>
    <border>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1">
    <xf numFmtId="0" fontId="0" fillId="0" borderId="0">
      <alignment vertical="center"/>
    </xf>
  </cellStyleXfs>
  <cellXfs count="119">
    <xf numFmtId="0" fontId="0" fillId="0" borderId="0" xfId="0">
      <alignment vertical="center"/>
    </xf>
    <xf numFmtId="0" fontId="0" fillId="0" borderId="1" xfId="0" applyBorder="1">
      <alignment vertical="center"/>
    </xf>
    <xf numFmtId="0" fontId="0" fillId="0" borderId="0" xfId="0" applyBorder="1">
      <alignment vertical="center"/>
    </xf>
    <xf numFmtId="0" fontId="5" fillId="0" borderId="0" xfId="0" applyFont="1">
      <alignment vertical="center"/>
    </xf>
    <xf numFmtId="0" fontId="6" fillId="0" borderId="1" xfId="0" applyFont="1" applyBorder="1">
      <alignment vertical="center"/>
    </xf>
    <xf numFmtId="0" fontId="6" fillId="0" borderId="0" xfId="0" applyFont="1">
      <alignment vertical="center"/>
    </xf>
    <xf numFmtId="176" fontId="6" fillId="0" borderId="1" xfId="0" applyNumberFormat="1" applyFont="1" applyBorder="1">
      <alignment vertical="center"/>
    </xf>
    <xf numFmtId="176" fontId="6" fillId="0" borderId="0" xfId="0" applyNumberFormat="1" applyFont="1">
      <alignment vertical="center"/>
    </xf>
    <xf numFmtId="0" fontId="6" fillId="0" borderId="6" xfId="0" applyFont="1" applyBorder="1">
      <alignment vertical="center"/>
    </xf>
    <xf numFmtId="176" fontId="6" fillId="0" borderId="6" xfId="0" applyNumberFormat="1" applyFont="1" applyBorder="1">
      <alignment vertical="center"/>
    </xf>
    <xf numFmtId="0" fontId="7" fillId="0" borderId="1" xfId="0" applyFont="1" applyBorder="1">
      <alignment vertical="center"/>
    </xf>
    <xf numFmtId="0" fontId="8" fillId="0" borderId="1" xfId="0" applyFont="1" applyBorder="1">
      <alignment vertical="center"/>
    </xf>
    <xf numFmtId="0" fontId="0" fillId="2" borderId="0" xfId="0" applyFill="1">
      <alignment vertical="center"/>
    </xf>
    <xf numFmtId="0" fontId="10" fillId="2" borderId="0" xfId="0" applyFont="1" applyFill="1" applyAlignment="1">
      <alignment horizontal="center" vertical="center"/>
    </xf>
    <xf numFmtId="0" fontId="0" fillId="2" borderId="0" xfId="0" applyFill="1" applyAlignment="1">
      <alignment horizontal="center" vertical="center"/>
    </xf>
    <xf numFmtId="0" fontId="7" fillId="0" borderId="2" xfId="0" applyFont="1" applyBorder="1" applyAlignment="1">
      <alignment horizontal="left" vertical="center"/>
    </xf>
    <xf numFmtId="0" fontId="8" fillId="0" borderId="3" xfId="0" applyFont="1" applyBorder="1" applyAlignment="1">
      <alignment horizontal="left" vertical="center"/>
    </xf>
    <xf numFmtId="176" fontId="0" fillId="0" borderId="0" xfId="0" applyNumberFormat="1">
      <alignment vertical="center"/>
    </xf>
    <xf numFmtId="0" fontId="11" fillId="0" borderId="0" xfId="0" applyFont="1">
      <alignment vertical="center"/>
    </xf>
    <xf numFmtId="0" fontId="8" fillId="0" borderId="0" xfId="0" applyFont="1">
      <alignment vertical="center"/>
    </xf>
    <xf numFmtId="0" fontId="14" fillId="0" borderId="0" xfId="0" applyFont="1">
      <alignment vertical="center"/>
    </xf>
    <xf numFmtId="0" fontId="16" fillId="0" borderId="0" xfId="0" applyFont="1">
      <alignment vertical="center"/>
    </xf>
    <xf numFmtId="0" fontId="17" fillId="0" borderId="0" xfId="0" applyFont="1">
      <alignment vertical="center"/>
    </xf>
    <xf numFmtId="0" fontId="17" fillId="0" borderId="1" xfId="0" applyFont="1" applyBorder="1">
      <alignment vertical="center"/>
    </xf>
    <xf numFmtId="0" fontId="16" fillId="0" borderId="1" xfId="0" applyFont="1" applyBorder="1">
      <alignment vertical="center"/>
    </xf>
    <xf numFmtId="0" fontId="16" fillId="3" borderId="1" xfId="0" applyFont="1" applyFill="1" applyBorder="1">
      <alignment vertical="center"/>
    </xf>
    <xf numFmtId="0" fontId="18" fillId="0" borderId="2" xfId="0" applyFont="1" applyBorder="1">
      <alignment vertical="center"/>
    </xf>
    <xf numFmtId="0" fontId="18" fillId="0" borderId="7" xfId="0" applyFont="1" applyBorder="1">
      <alignment vertical="center"/>
    </xf>
    <xf numFmtId="0" fontId="18" fillId="0" borderId="3" xfId="0" applyFont="1" applyBorder="1">
      <alignment vertical="center"/>
    </xf>
    <xf numFmtId="0" fontId="18" fillId="0" borderId="1" xfId="0" applyFont="1" applyBorder="1">
      <alignment vertical="center"/>
    </xf>
    <xf numFmtId="0" fontId="17" fillId="0" borderId="2" xfId="0" applyFont="1" applyBorder="1">
      <alignment vertical="center"/>
    </xf>
    <xf numFmtId="0" fontId="17" fillId="0" borderId="7" xfId="0" applyFont="1" applyBorder="1">
      <alignment vertical="center"/>
    </xf>
    <xf numFmtId="0" fontId="17" fillId="0" borderId="3" xfId="0" applyFont="1" applyBorder="1">
      <alignment vertical="center"/>
    </xf>
    <xf numFmtId="0" fontId="18" fillId="0" borderId="0" xfId="0" applyFont="1">
      <alignment vertical="center"/>
    </xf>
    <xf numFmtId="0" fontId="7" fillId="0" borderId="0" xfId="0" applyFont="1">
      <alignment vertical="center"/>
    </xf>
    <xf numFmtId="0" fontId="0" fillId="4" borderId="2" xfId="0" applyFill="1" applyBorder="1">
      <alignment vertical="center"/>
    </xf>
    <xf numFmtId="0" fontId="0" fillId="4" borderId="3" xfId="0" applyFill="1" applyBorder="1">
      <alignment vertical="center"/>
    </xf>
    <xf numFmtId="0" fontId="16" fillId="0" borderId="1" xfId="0" applyFont="1" applyBorder="1" applyAlignment="1">
      <alignment horizontal="center" vertical="center"/>
    </xf>
    <xf numFmtId="0" fontId="21" fillId="0" borderId="1" xfId="0" applyFont="1" applyBorder="1">
      <alignment vertical="center"/>
    </xf>
    <xf numFmtId="0" fontId="0" fillId="5" borderId="1" xfId="0" applyFill="1" applyBorder="1">
      <alignment vertical="center"/>
    </xf>
    <xf numFmtId="0" fontId="21" fillId="0" borderId="0" xfId="0" applyFont="1">
      <alignment vertical="center"/>
    </xf>
    <xf numFmtId="0" fontId="22" fillId="0" borderId="0" xfId="0" applyFont="1">
      <alignment vertical="center"/>
    </xf>
    <xf numFmtId="0" fontId="6" fillId="0" borderId="2" xfId="0" applyFont="1" applyBorder="1">
      <alignment vertical="center"/>
    </xf>
    <xf numFmtId="0" fontId="16" fillId="0" borderId="7" xfId="0" applyFont="1" applyBorder="1">
      <alignment vertical="center"/>
    </xf>
    <xf numFmtId="0" fontId="16" fillId="0" borderId="3" xfId="0" applyFont="1" applyBorder="1">
      <alignment vertical="center"/>
    </xf>
    <xf numFmtId="9" fontId="0" fillId="0" borderId="0" xfId="0" applyNumberFormat="1">
      <alignment vertical="center"/>
    </xf>
    <xf numFmtId="177" fontId="24" fillId="0" borderId="1" xfId="0" applyNumberFormat="1" applyFont="1" applyBorder="1">
      <alignment vertical="center"/>
    </xf>
    <xf numFmtId="0" fontId="16" fillId="0" borderId="1" xfId="0" applyFont="1" applyBorder="1" applyAlignment="1">
      <alignment vertical="center" wrapText="1"/>
    </xf>
    <xf numFmtId="0" fontId="16" fillId="0" borderId="1" xfId="0" applyFont="1" applyFill="1" applyBorder="1">
      <alignment vertical="center"/>
    </xf>
    <xf numFmtId="0" fontId="17" fillId="0" borderId="1" xfId="0" applyFont="1" applyFill="1" applyBorder="1">
      <alignment vertical="center"/>
    </xf>
    <xf numFmtId="177" fontId="0" fillId="2" borderId="8" xfId="0" applyNumberFormat="1" applyFill="1" applyBorder="1" applyAlignment="1">
      <alignment horizontal="center" vertical="center"/>
    </xf>
    <xf numFmtId="177" fontId="0" fillId="2" borderId="9" xfId="0" applyNumberFormat="1" applyFill="1" applyBorder="1" applyAlignment="1">
      <alignment horizontal="center" vertical="center"/>
    </xf>
    <xf numFmtId="177" fontId="0" fillId="2" borderId="10" xfId="0" applyNumberFormat="1" applyFill="1" applyBorder="1" applyAlignment="1">
      <alignment horizontal="center" vertical="center"/>
    </xf>
    <xf numFmtId="177" fontId="0" fillId="2" borderId="13" xfId="0" applyNumberFormat="1" applyFill="1" applyBorder="1" applyAlignment="1">
      <alignment horizontal="center" vertical="center"/>
    </xf>
    <xf numFmtId="177" fontId="0" fillId="2" borderId="14" xfId="0" applyNumberFormat="1" applyFill="1" applyBorder="1" applyAlignment="1">
      <alignment horizontal="center" vertical="center"/>
    </xf>
    <xf numFmtId="177" fontId="0" fillId="2" borderId="15" xfId="0" applyNumberFormat="1" applyFill="1" applyBorder="1" applyAlignment="1">
      <alignment horizontal="center" vertical="center"/>
    </xf>
    <xf numFmtId="0" fontId="7" fillId="0" borderId="1" xfId="0" applyFont="1" applyFill="1" applyBorder="1">
      <alignment vertical="center"/>
    </xf>
    <xf numFmtId="0" fontId="0" fillId="0" borderId="1"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2" xfId="0" applyBorder="1">
      <alignment vertical="center"/>
    </xf>
    <xf numFmtId="0" fontId="0" fillId="0" borderId="3" xfId="0" applyBorder="1">
      <alignment vertical="center"/>
    </xf>
    <xf numFmtId="0" fontId="8" fillId="0" borderId="2" xfId="0" applyFont="1" applyBorder="1" applyAlignment="1">
      <alignment horizontal="center" vertical="center"/>
    </xf>
    <xf numFmtId="0" fontId="8" fillId="0" borderId="3"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3" fillId="0" borderId="5" xfId="0" applyFont="1" applyBorder="1" applyAlignment="1">
      <alignment horizontal="center" vertical="center"/>
    </xf>
    <xf numFmtId="0" fontId="0" fillId="0" borderId="1" xfId="0" applyBorder="1" applyAlignment="1">
      <alignment horizontal="center" vertical="center"/>
    </xf>
    <xf numFmtId="0" fontId="3" fillId="2" borderId="0" xfId="0" applyFont="1" applyFill="1" applyAlignment="1">
      <alignment horizontal="center" vertical="center"/>
    </xf>
    <xf numFmtId="0" fontId="8" fillId="2" borderId="0" xfId="0" applyFont="1" applyFill="1" applyAlignment="1">
      <alignment horizontal="center" vertical="center"/>
    </xf>
    <xf numFmtId="0" fontId="0" fillId="2" borderId="2" xfId="0" applyFill="1" applyBorder="1" applyAlignment="1">
      <alignment horizontal="center" vertical="center"/>
    </xf>
    <xf numFmtId="0" fontId="0" fillId="2" borderId="7" xfId="0" applyFill="1" applyBorder="1" applyAlignment="1">
      <alignment horizontal="center" vertical="center"/>
    </xf>
    <xf numFmtId="0" fontId="0" fillId="2" borderId="3" xfId="0" applyFill="1" applyBorder="1" applyAlignment="1">
      <alignment horizontal="center" vertical="center"/>
    </xf>
    <xf numFmtId="0" fontId="0" fillId="0" borderId="0" xfId="0" applyAlignment="1">
      <alignment horizontal="center" vertical="center"/>
    </xf>
    <xf numFmtId="177" fontId="0" fillId="2" borderId="11" xfId="0" applyNumberFormat="1" applyFill="1" applyBorder="1" applyAlignment="1">
      <alignment horizontal="center" vertical="center"/>
    </xf>
    <xf numFmtId="177" fontId="0" fillId="2" borderId="0" xfId="0" applyNumberFormat="1" applyFill="1" applyBorder="1" applyAlignment="1">
      <alignment horizontal="center" vertical="center"/>
    </xf>
    <xf numFmtId="177" fontId="0" fillId="2" borderId="12" xfId="0" applyNumberFormat="1" applyFill="1" applyBorder="1" applyAlignment="1">
      <alignment horizontal="center" vertical="center"/>
    </xf>
    <xf numFmtId="0" fontId="3" fillId="0" borderId="0" xfId="0" applyFont="1" applyAlignment="1">
      <alignment horizontal="center" vertical="center"/>
    </xf>
    <xf numFmtId="0" fontId="17" fillId="0" borderId="2" xfId="0" applyFont="1" applyFill="1" applyBorder="1">
      <alignment vertical="center"/>
    </xf>
    <xf numFmtId="0" fontId="0" fillId="0" borderId="7" xfId="0" applyFill="1" applyBorder="1">
      <alignment vertical="center"/>
    </xf>
    <xf numFmtId="0" fontId="0" fillId="0" borderId="3" xfId="0" applyFill="1" applyBorder="1">
      <alignment vertical="center"/>
    </xf>
    <xf numFmtId="177" fontId="17" fillId="0" borderId="2" xfId="0" applyNumberFormat="1" applyFont="1" applyFill="1" applyBorder="1">
      <alignment vertical="center"/>
    </xf>
    <xf numFmtId="177" fontId="0" fillId="0" borderId="3" xfId="0" applyNumberFormat="1" applyFill="1" applyBorder="1">
      <alignment vertical="center"/>
    </xf>
    <xf numFmtId="0" fontId="15" fillId="0" borderId="5" xfId="0" applyFont="1" applyBorder="1" applyAlignment="1">
      <alignment horizontal="center" vertical="center"/>
    </xf>
    <xf numFmtId="0" fontId="18" fillId="0" borderId="7" xfId="0" applyFont="1" applyFill="1" applyBorder="1">
      <alignment vertical="center"/>
    </xf>
    <xf numFmtId="0" fontId="18" fillId="0" borderId="3" xfId="0" applyFont="1" applyFill="1" applyBorder="1">
      <alignment vertical="center"/>
    </xf>
    <xf numFmtId="0" fontId="18" fillId="0" borderId="2" xfId="0" applyFont="1" applyFill="1" applyBorder="1">
      <alignment vertical="center"/>
    </xf>
    <xf numFmtId="0" fontId="17" fillId="0" borderId="2" xfId="0" applyFont="1" applyFill="1" applyBorder="1" applyAlignment="1">
      <alignment horizontal="left" vertical="center"/>
    </xf>
    <xf numFmtId="0" fontId="18" fillId="0" borderId="7" xfId="0" applyFont="1" applyFill="1" applyBorder="1" applyAlignment="1">
      <alignment horizontal="left" vertical="center"/>
    </xf>
    <xf numFmtId="0" fontId="18" fillId="0" borderId="3" xfId="0" applyFont="1" applyFill="1" applyBorder="1" applyAlignment="1">
      <alignment horizontal="left" vertical="center"/>
    </xf>
    <xf numFmtId="177" fontId="17" fillId="3" borderId="2" xfId="0" applyNumberFormat="1" applyFont="1" applyFill="1" applyBorder="1">
      <alignment vertical="center"/>
    </xf>
    <xf numFmtId="0" fontId="15" fillId="0" borderId="0" xfId="0" applyFont="1" applyAlignment="1">
      <alignment horizontal="center" vertical="center"/>
    </xf>
    <xf numFmtId="0" fontId="0" fillId="0" borderId="7" xfId="0" applyBorder="1">
      <alignment vertical="center"/>
    </xf>
    <xf numFmtId="9" fontId="0" fillId="0" borderId="2" xfId="0" applyNumberFormat="1" applyBorder="1">
      <alignment vertical="center"/>
    </xf>
    <xf numFmtId="9" fontId="0" fillId="0" borderId="3" xfId="0" applyNumberFormat="1" applyBorder="1">
      <alignment vertical="center"/>
    </xf>
    <xf numFmtId="177" fontId="0" fillId="0" borderId="2" xfId="0" applyNumberFormat="1" applyBorder="1">
      <alignment vertical="center"/>
    </xf>
    <xf numFmtId="177" fontId="0" fillId="0" borderId="3" xfId="0" applyNumberFormat="1" applyBorder="1">
      <alignment vertical="center"/>
    </xf>
    <xf numFmtId="177" fontId="0" fillId="0" borderId="7" xfId="0" applyNumberFormat="1" applyBorder="1">
      <alignment vertical="center"/>
    </xf>
    <xf numFmtId="9" fontId="0" fillId="0" borderId="7" xfId="0" applyNumberFormat="1" applyBorder="1">
      <alignment vertical="center"/>
    </xf>
    <xf numFmtId="0" fontId="0" fillId="4" borderId="2" xfId="0" applyFill="1" applyBorder="1">
      <alignment vertical="center"/>
    </xf>
    <xf numFmtId="0" fontId="0" fillId="4" borderId="7" xfId="0" applyFill="1" applyBorder="1">
      <alignment vertical="center"/>
    </xf>
    <xf numFmtId="0" fontId="0" fillId="4" borderId="3" xfId="0" applyFill="1" applyBorder="1">
      <alignment vertical="center"/>
    </xf>
    <xf numFmtId="9" fontId="0" fillId="4" borderId="2" xfId="0" applyNumberFormat="1" applyFill="1" applyBorder="1">
      <alignment vertical="center"/>
    </xf>
    <xf numFmtId="9" fontId="0" fillId="4" borderId="7" xfId="0" applyNumberFormat="1" applyFill="1" applyBorder="1">
      <alignment vertical="center"/>
    </xf>
    <xf numFmtId="9" fontId="0" fillId="4" borderId="3" xfId="0" applyNumberFormat="1" applyFill="1" applyBorder="1">
      <alignment vertical="center"/>
    </xf>
    <xf numFmtId="0" fontId="7" fillId="0" borderId="5" xfId="0" applyFont="1" applyBorder="1" applyAlignment="1">
      <alignment horizontal="center"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8" fillId="0" borderId="0" xfId="0" applyFont="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6" fontId="0" fillId="0" borderId="1" xfId="0" applyNumberFormat="1" applyBorder="1" applyAlignment="1">
      <alignment horizontal="center" vertical="center"/>
    </xf>
    <xf numFmtId="0" fontId="20" fillId="0" borderId="5" xfId="0" applyFont="1" applyBorder="1" applyAlignment="1">
      <alignment horizontal="center" vertical="center"/>
    </xf>
    <xf numFmtId="0" fontId="17" fillId="0" borderId="5" xfId="0" applyFont="1" applyBorder="1" applyAlignment="1">
      <alignment horizontal="center" vertical="center"/>
    </xf>
    <xf numFmtId="0" fontId="16" fillId="0" borderId="1" xfId="0" applyFont="1" applyBorder="1" applyAlignment="1">
      <alignment horizontal="center" vertical="center"/>
    </xf>
    <xf numFmtId="0" fontId="7" fillId="6" borderId="1" xfId="0" applyFont="1" applyFill="1" applyBorder="1">
      <alignment vertical="center"/>
    </xf>
    <xf numFmtId="0" fontId="0" fillId="6" borderId="1" xfId="0" applyFill="1" applyBorder="1">
      <alignment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[1]Sheet1!$A$7</c:f>
              <c:strCache>
                <c:ptCount val="1"/>
                <c:pt idx="0">
                  <c:v>낮다</c:v>
                </c:pt>
              </c:strCache>
            </c:strRef>
          </c:tx>
          <c:marker>
            <c:symbol val="none"/>
          </c:marker>
          <c:cat>
            <c:numRef>
              <c:f>[1]Sheet1!$B$5:$AA$5</c:f>
              <c:numCache>
                <c:formatCode>General</c:formatCode>
                <c:ptCount val="26"/>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numCache>
            </c:numRef>
          </c:cat>
          <c:val>
            <c:numRef>
              <c:f>[1]Sheet1!$B$7:$AA$7</c:f>
              <c:numCache>
                <c:formatCode>General</c:formatCode>
                <c:ptCount val="26"/>
                <c:pt idx="0">
                  <c:v>1</c:v>
                </c:pt>
                <c:pt idx="1">
                  <c:v>1</c:v>
                </c:pt>
                <c:pt idx="2">
                  <c:v>1</c:v>
                </c:pt>
                <c:pt idx="3">
                  <c:v>1</c:v>
                </c:pt>
                <c:pt idx="4">
                  <c:v>1</c:v>
                </c:pt>
                <c:pt idx="5">
                  <c:v>1</c:v>
                </c:pt>
                <c:pt idx="6">
                  <c:v>0.9</c:v>
                </c:pt>
                <c:pt idx="7">
                  <c:v>0.8</c:v>
                </c:pt>
                <c:pt idx="8">
                  <c:v>0.7</c:v>
                </c:pt>
                <c:pt idx="9">
                  <c:v>0.6</c:v>
                </c:pt>
                <c:pt idx="10">
                  <c:v>0.5</c:v>
                </c:pt>
                <c:pt idx="11">
                  <c:v>0.4</c:v>
                </c:pt>
                <c:pt idx="12">
                  <c:v>0.3</c:v>
                </c:pt>
                <c:pt idx="13">
                  <c:v>0.2</c:v>
                </c:pt>
                <c:pt idx="14">
                  <c:v>0.1</c:v>
                </c:pt>
                <c:pt idx="15">
                  <c:v>0</c:v>
                </c:pt>
                <c:pt idx="16">
                  <c:v>0</c:v>
                </c:pt>
                <c:pt idx="17">
                  <c:v>0</c:v>
                </c:pt>
                <c:pt idx="18">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0-F204-4595-B427-63BB70274A1D}"/>
            </c:ext>
          </c:extLst>
        </c:ser>
        <c:ser>
          <c:idx val="1"/>
          <c:order val="1"/>
          <c:tx>
            <c:strRef>
              <c:f>[1]Sheet1!$A$6</c:f>
              <c:strCache>
                <c:ptCount val="1"/>
                <c:pt idx="0">
                  <c:v>높다</c:v>
                </c:pt>
              </c:strCache>
            </c:strRef>
          </c:tx>
          <c:marker>
            <c:symbol val="none"/>
          </c:marker>
          <c:cat>
            <c:numRef>
              <c:f>[1]Sheet1!$B$5:$AA$5</c:f>
              <c:numCache>
                <c:formatCode>General</c:formatCode>
                <c:ptCount val="26"/>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numCache>
            </c:numRef>
          </c:cat>
          <c:val>
            <c:numRef>
              <c:f>[1]Sheet1!$B$6:$AA$6</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0.1</c:v>
                </c:pt>
                <c:pt idx="12">
                  <c:v>0.2</c:v>
                </c:pt>
                <c:pt idx="13">
                  <c:v>0.3</c:v>
                </c:pt>
                <c:pt idx="14">
                  <c:v>0.4</c:v>
                </c:pt>
                <c:pt idx="15">
                  <c:v>0.5</c:v>
                </c:pt>
                <c:pt idx="16">
                  <c:v>0.6</c:v>
                </c:pt>
                <c:pt idx="17">
                  <c:v>0.7</c:v>
                </c:pt>
                <c:pt idx="18">
                  <c:v>0.8</c:v>
                </c:pt>
                <c:pt idx="19">
                  <c:v>0.9</c:v>
                </c:pt>
                <c:pt idx="20">
                  <c:v>1</c:v>
                </c:pt>
                <c:pt idx="21">
                  <c:v>1</c:v>
                </c:pt>
                <c:pt idx="22">
                  <c:v>1</c:v>
                </c:pt>
                <c:pt idx="23">
                  <c:v>1</c:v>
                </c:pt>
                <c:pt idx="24">
                  <c:v>1</c:v>
                </c:pt>
                <c:pt idx="25">
                  <c:v>1</c:v>
                </c:pt>
              </c:numCache>
            </c:numRef>
          </c:val>
          <c:smooth val="0"/>
          <c:extLst>
            <c:ext xmlns:c16="http://schemas.microsoft.com/office/drawing/2014/chart" uri="{C3380CC4-5D6E-409C-BE32-E72D297353CC}">
              <c16:uniqueId val="{00000001-F204-4595-B427-63BB70274A1D}"/>
            </c:ext>
          </c:extLst>
        </c:ser>
        <c:dLbls>
          <c:showLegendKey val="0"/>
          <c:showVal val="0"/>
          <c:showCatName val="0"/>
          <c:showSerName val="0"/>
          <c:showPercent val="0"/>
          <c:showBubbleSize val="0"/>
        </c:dLbls>
        <c:smooth val="0"/>
        <c:axId val="72850432"/>
        <c:axId val="72860416"/>
      </c:lineChart>
      <c:catAx>
        <c:axId val="72850432"/>
        <c:scaling>
          <c:orientation val="minMax"/>
        </c:scaling>
        <c:delete val="0"/>
        <c:axPos val="b"/>
        <c:numFmt formatCode="General" sourceLinked="1"/>
        <c:majorTickMark val="out"/>
        <c:minorTickMark val="none"/>
        <c:tickLblPos val="nextTo"/>
        <c:txPr>
          <a:bodyPr/>
          <a:lstStyle/>
          <a:p>
            <a:pPr>
              <a:defRPr lang="ja-JP"/>
            </a:pPr>
            <a:endParaRPr lang="ko-KR"/>
          </a:p>
        </c:txPr>
        <c:crossAx val="72860416"/>
        <c:crosses val="autoZero"/>
        <c:auto val="1"/>
        <c:lblAlgn val="ctr"/>
        <c:lblOffset val="100"/>
        <c:noMultiLvlLbl val="0"/>
      </c:catAx>
      <c:valAx>
        <c:axId val="72860416"/>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2850432"/>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[1]Sheet1!$A$12</c:f>
              <c:strCache>
                <c:ptCount val="1"/>
                <c:pt idx="0">
                  <c:v>낮다</c:v>
                </c:pt>
              </c:strCache>
            </c:strRef>
          </c:tx>
          <c:marker>
            <c:symbol val="none"/>
          </c:marker>
          <c:cat>
            <c:numRef>
              <c:f>[1]Sheet1!$B$10:$V$10</c:f>
              <c:numCache>
                <c:formatCode>General</c:formatCode>
                <c:ptCount val="2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numCache>
            </c:numRef>
          </c:cat>
          <c:val>
            <c:numRef>
              <c:f>[1]Sheet1!$B$12:$V$12</c:f>
              <c:numCache>
                <c:formatCode>General</c:formatCode>
                <c:ptCount val="21"/>
                <c:pt idx="0">
                  <c:v>1</c:v>
                </c:pt>
                <c:pt idx="1">
                  <c:v>1</c:v>
                </c:pt>
                <c:pt idx="2">
                  <c:v>1</c:v>
                </c:pt>
                <c:pt idx="3">
                  <c:v>1</c:v>
                </c:pt>
                <c:pt idx="4">
                  <c:v>1</c:v>
                </c:pt>
                <c:pt idx="5">
                  <c:v>1</c:v>
                </c:pt>
                <c:pt idx="6">
                  <c:v>0.9</c:v>
                </c:pt>
                <c:pt idx="7">
                  <c:v>0.8</c:v>
                </c:pt>
                <c:pt idx="8">
                  <c:v>0.7</c:v>
                </c:pt>
                <c:pt idx="9">
                  <c:v>0.6</c:v>
                </c:pt>
                <c:pt idx="10">
                  <c:v>0.5</c:v>
                </c:pt>
                <c:pt idx="11">
                  <c:v>0.4</c:v>
                </c:pt>
                <c:pt idx="12">
                  <c:v>0.3</c:v>
                </c:pt>
                <c:pt idx="13">
                  <c:v>0.2</c:v>
                </c:pt>
                <c:pt idx="14">
                  <c:v>0.1</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F16A-4D34-B3D8-75DE2CBFD2D1}"/>
            </c:ext>
          </c:extLst>
        </c:ser>
        <c:ser>
          <c:idx val="1"/>
          <c:order val="1"/>
          <c:tx>
            <c:strRef>
              <c:f>[1]Sheet1!$A$11</c:f>
              <c:strCache>
                <c:ptCount val="1"/>
                <c:pt idx="0">
                  <c:v>높다</c:v>
                </c:pt>
              </c:strCache>
            </c:strRef>
          </c:tx>
          <c:marker>
            <c:symbol val="none"/>
          </c:marker>
          <c:cat>
            <c:numRef>
              <c:f>[1]Sheet1!$B$10:$V$10</c:f>
              <c:numCache>
                <c:formatCode>General</c:formatCode>
                <c:ptCount val="2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numCache>
            </c:numRef>
          </c:cat>
          <c:val>
            <c:numRef>
              <c:f>[1]Sheet1!$B$11:$V$11</c:f>
              <c:numCache>
                <c:formatCode>General</c:formatCode>
                <c:ptCount val="21"/>
                <c:pt idx="0">
                  <c:v>0</c:v>
                </c:pt>
                <c:pt idx="1">
                  <c:v>0</c:v>
                </c:pt>
                <c:pt idx="2">
                  <c:v>0</c:v>
                </c:pt>
                <c:pt idx="3">
                  <c:v>0</c:v>
                </c:pt>
                <c:pt idx="4">
                  <c:v>0</c:v>
                </c:pt>
                <c:pt idx="5">
                  <c:v>0</c:v>
                </c:pt>
                <c:pt idx="6">
                  <c:v>0</c:v>
                </c:pt>
                <c:pt idx="7">
                  <c:v>0</c:v>
                </c:pt>
                <c:pt idx="8">
                  <c:v>0.1</c:v>
                </c:pt>
                <c:pt idx="9">
                  <c:v>0.2</c:v>
                </c:pt>
                <c:pt idx="10">
                  <c:v>0.3</c:v>
                </c:pt>
                <c:pt idx="11">
                  <c:v>0.4</c:v>
                </c:pt>
                <c:pt idx="12">
                  <c:v>0.5</c:v>
                </c:pt>
                <c:pt idx="13">
                  <c:v>0.6</c:v>
                </c:pt>
                <c:pt idx="14">
                  <c:v>0.7</c:v>
                </c:pt>
                <c:pt idx="15">
                  <c:v>0.8</c:v>
                </c:pt>
                <c:pt idx="16">
                  <c:v>0.9</c:v>
                </c:pt>
                <c:pt idx="17">
                  <c:v>1</c:v>
                </c:pt>
                <c:pt idx="18">
                  <c:v>1</c:v>
                </c:pt>
                <c:pt idx="19">
                  <c:v>1</c:v>
                </c:pt>
                <c:pt idx="20">
                  <c:v>1</c:v>
                </c:pt>
              </c:numCache>
            </c:numRef>
          </c:val>
          <c:smooth val="0"/>
          <c:extLst>
            <c:ext xmlns:c16="http://schemas.microsoft.com/office/drawing/2014/chart" uri="{C3380CC4-5D6E-409C-BE32-E72D297353CC}">
              <c16:uniqueId val="{00000001-F16A-4D34-B3D8-75DE2CBFD2D1}"/>
            </c:ext>
          </c:extLst>
        </c:ser>
        <c:dLbls>
          <c:showLegendKey val="0"/>
          <c:showVal val="0"/>
          <c:showCatName val="0"/>
          <c:showSerName val="0"/>
          <c:showPercent val="0"/>
          <c:showBubbleSize val="0"/>
        </c:dLbls>
        <c:smooth val="0"/>
        <c:axId val="73035776"/>
        <c:axId val="73037312"/>
      </c:lineChart>
      <c:catAx>
        <c:axId val="73035776"/>
        <c:scaling>
          <c:orientation val="minMax"/>
        </c:scaling>
        <c:delete val="0"/>
        <c:axPos val="b"/>
        <c:numFmt formatCode="General" sourceLinked="1"/>
        <c:majorTickMark val="out"/>
        <c:minorTickMark val="none"/>
        <c:tickLblPos val="nextTo"/>
        <c:txPr>
          <a:bodyPr/>
          <a:lstStyle/>
          <a:p>
            <a:pPr>
              <a:defRPr lang="ja-JP"/>
            </a:pPr>
            <a:endParaRPr lang="ko-KR"/>
          </a:p>
        </c:txPr>
        <c:crossAx val="73037312"/>
        <c:crosses val="autoZero"/>
        <c:auto val="1"/>
        <c:lblAlgn val="ctr"/>
        <c:lblOffset val="100"/>
        <c:noMultiLvlLbl val="0"/>
      </c:catAx>
      <c:valAx>
        <c:axId val="73037312"/>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303577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[1]Sheet1!$A$16</c:f>
              <c:strCache>
                <c:ptCount val="1"/>
                <c:pt idx="0">
                  <c:v>강냉</c:v>
                </c:pt>
              </c:strCache>
            </c:strRef>
          </c:tx>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[1]Sheet1!$B$16:$R$16</c:f>
              <c:numCache>
                <c:formatCode>General</c:formatCode>
                <c:ptCount val="17"/>
                <c:pt idx="0">
                  <c:v>1</c:v>
                </c:pt>
                <c:pt idx="1">
                  <c:v>1</c:v>
                </c:pt>
                <c:pt idx="2">
                  <c:v>1</c:v>
                </c:pt>
                <c:pt idx="3">
                  <c:v>0.8</c:v>
                </c:pt>
                <c:pt idx="4">
                  <c:v>0.6</c:v>
                </c:pt>
                <c:pt idx="5">
                  <c:v>0.4</c:v>
                </c:pt>
                <c:pt idx="6">
                  <c:v>0.2</c:v>
                </c:pt>
                <c:pt idx="7">
                  <c:v>0</c:v>
                </c:pt>
                <c:pt idx="8">
                  <c:v>0</c:v>
                </c:pt>
                <c:pt idx="9">
                  <c:v>0</c:v>
                </c:pt>
                <c:pt idx="10">
                  <c:v>0</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0-683B-4E10-B861-4551501B965D}"/>
            </c:ext>
          </c:extLst>
        </c:ser>
        <c:ser>
          <c:idx val="1"/>
          <c:order val="1"/>
          <c:tx>
            <c:strRef>
              <c:f>[1]Sheet1!$A$17</c:f>
              <c:strCache>
                <c:ptCount val="1"/>
                <c:pt idx="0">
                  <c:v>약냉</c:v>
                </c:pt>
              </c:strCache>
            </c:strRef>
          </c:tx>
          <c:spPr>
            <a:ln>
              <a:solidFill>
                <a:srgbClr val="92D050"/>
              </a:solidFill>
            </a:ln>
          </c:spPr>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[1]Sheet1!$B$17:$R$17</c:f>
              <c:numCache>
                <c:formatCode>General</c:formatCode>
                <c:ptCount val="17"/>
                <c:pt idx="0">
                  <c:v>0</c:v>
                </c:pt>
                <c:pt idx="1">
                  <c:v>0.2</c:v>
                </c:pt>
                <c:pt idx="2">
                  <c:v>0.4</c:v>
                </c:pt>
                <c:pt idx="3">
                  <c:v>0.6</c:v>
                </c:pt>
                <c:pt idx="4">
                  <c:v>0.8</c:v>
                </c:pt>
                <c:pt idx="5">
                  <c:v>1</c:v>
                </c:pt>
                <c:pt idx="6">
                  <c:v>1</c:v>
                </c:pt>
                <c:pt idx="7">
                  <c:v>0.8</c:v>
                </c:pt>
                <c:pt idx="8">
                  <c:v>0.6</c:v>
                </c:pt>
                <c:pt idx="9">
                  <c:v>0.4</c:v>
                </c:pt>
                <c:pt idx="10">
                  <c:v>0.2</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1-683B-4E10-B861-4551501B965D}"/>
            </c:ext>
          </c:extLst>
        </c:ser>
        <c:ser>
          <c:idx val="2"/>
          <c:order val="2"/>
          <c:tx>
            <c:strRef>
              <c:f>[1]Sheet1!$A$18</c:f>
              <c:strCache>
                <c:ptCount val="1"/>
                <c:pt idx="0">
                  <c:v>약난</c:v>
                </c:pt>
              </c:strCache>
            </c:strRef>
          </c:tx>
          <c:spPr>
            <a:ln>
              <a:solidFill>
                <a:srgbClr val="7030A0"/>
              </a:solidFill>
            </a:ln>
          </c:spPr>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[1]Sheet1!$B$18:$R$18</c:f>
              <c:numCache>
                <c:formatCode>General</c:formatCode>
                <c:ptCount val="17"/>
                <c:pt idx="0">
                  <c:v>0</c:v>
                </c:pt>
                <c:pt idx="1">
                  <c:v>0</c:v>
                </c:pt>
                <c:pt idx="2">
                  <c:v>0</c:v>
                </c:pt>
                <c:pt idx="3">
                  <c:v>0</c:v>
                </c:pt>
                <c:pt idx="4">
                  <c:v>0</c:v>
                </c:pt>
                <c:pt idx="5">
                  <c:v>0</c:v>
                </c:pt>
                <c:pt idx="6">
                  <c:v>0.2</c:v>
                </c:pt>
                <c:pt idx="7">
                  <c:v>0.4</c:v>
                </c:pt>
                <c:pt idx="8">
                  <c:v>0.6</c:v>
                </c:pt>
                <c:pt idx="9">
                  <c:v>0.8</c:v>
                </c:pt>
                <c:pt idx="10">
                  <c:v>1</c:v>
                </c:pt>
                <c:pt idx="11">
                  <c:v>1</c:v>
                </c:pt>
                <c:pt idx="12">
                  <c:v>0.8</c:v>
                </c:pt>
                <c:pt idx="13">
                  <c:v>0.6</c:v>
                </c:pt>
                <c:pt idx="14">
                  <c:v>0.4</c:v>
                </c:pt>
                <c:pt idx="15">
                  <c:v>0.2</c:v>
                </c:pt>
                <c:pt idx="16">
                  <c:v>0</c:v>
                </c:pt>
              </c:numCache>
            </c:numRef>
          </c:val>
          <c:smooth val="0"/>
          <c:extLst>
            <c:ext xmlns:c16="http://schemas.microsoft.com/office/drawing/2014/chart" uri="{C3380CC4-5D6E-409C-BE32-E72D297353CC}">
              <c16:uniqueId val="{00000002-683B-4E10-B861-4551501B965D}"/>
            </c:ext>
          </c:extLst>
        </c:ser>
        <c:ser>
          <c:idx val="3"/>
          <c:order val="3"/>
          <c:tx>
            <c:strRef>
              <c:f>[1]Sheet1!$A$19</c:f>
              <c:strCache>
                <c:ptCount val="1"/>
                <c:pt idx="0">
                  <c:v>강난</c:v>
                </c:pt>
              </c:strCache>
            </c:strRef>
          </c:tx>
          <c:spPr>
            <a:ln>
              <a:solidFill>
                <a:srgbClr val="FF0000"/>
              </a:solidFill>
            </a:ln>
          </c:spPr>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[1]Sheet1!$B$19:$R$19</c:f>
              <c:numCache>
                <c:formatCode>General</c:formatCode>
                <c:ptCount val="17"/>
                <c:pt idx="0">
                  <c:v>0</c:v>
                </c:pt>
                <c:pt idx="1">
                  <c:v>0</c:v>
                </c:pt>
                <c:pt idx="2">
                  <c:v>0</c:v>
                </c:pt>
                <c:pt idx="3">
                  <c:v>0</c:v>
                </c:pt>
                <c:pt idx="4">
                  <c:v>0</c:v>
                </c:pt>
                <c:pt idx="5">
                  <c:v>0</c:v>
                </c:pt>
                <c:pt idx="6">
                  <c:v>0</c:v>
                </c:pt>
                <c:pt idx="7">
                  <c:v>0</c:v>
                </c:pt>
                <c:pt idx="8">
                  <c:v>0</c:v>
                </c:pt>
                <c:pt idx="9">
                  <c:v>0</c:v>
                </c:pt>
                <c:pt idx="10">
                  <c:v>0.2</c:v>
                </c:pt>
                <c:pt idx="11">
                  <c:v>0.4</c:v>
                </c:pt>
                <c:pt idx="12">
                  <c:v>0.6</c:v>
                </c:pt>
                <c:pt idx="13">
                  <c:v>0.8</c:v>
                </c:pt>
                <c:pt idx="14">
                  <c:v>1</c:v>
                </c:pt>
                <c:pt idx="15">
                  <c:v>1</c:v>
                </c:pt>
                <c:pt idx="16">
                  <c:v>1</c:v>
                </c:pt>
              </c:numCache>
            </c:numRef>
          </c:val>
          <c:smooth val="0"/>
          <c:extLst>
            <c:ext xmlns:c16="http://schemas.microsoft.com/office/drawing/2014/chart" uri="{C3380CC4-5D6E-409C-BE32-E72D297353CC}">
              <c16:uniqueId val="{00000003-683B-4E10-B861-4551501B965D}"/>
            </c:ext>
          </c:extLst>
        </c:ser>
        <c:dLbls>
          <c:showLegendKey val="0"/>
          <c:showVal val="0"/>
          <c:showCatName val="0"/>
          <c:showSerName val="0"/>
          <c:showPercent val="0"/>
          <c:showBubbleSize val="0"/>
        </c:dLbls>
        <c:smooth val="0"/>
        <c:axId val="72953856"/>
        <c:axId val="72955392"/>
      </c:lineChart>
      <c:catAx>
        <c:axId val="72953856"/>
        <c:scaling>
          <c:orientation val="minMax"/>
        </c:scaling>
        <c:delete val="0"/>
        <c:axPos val="b"/>
        <c:numFmt formatCode="General" sourceLinked="1"/>
        <c:majorTickMark val="out"/>
        <c:minorTickMark val="none"/>
        <c:tickLblPos val="nextTo"/>
        <c:txPr>
          <a:bodyPr/>
          <a:lstStyle/>
          <a:p>
            <a:pPr>
              <a:defRPr lang="ja-JP"/>
            </a:pPr>
            <a:endParaRPr lang="ko-KR"/>
          </a:p>
        </c:txPr>
        <c:crossAx val="72955392"/>
        <c:crosses val="autoZero"/>
        <c:auto val="1"/>
        <c:lblAlgn val="ctr"/>
        <c:lblOffset val="100"/>
        <c:noMultiLvlLbl val="0"/>
      </c:catAx>
      <c:valAx>
        <c:axId val="72955392"/>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295385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추론'!$J$60</c:f>
              <c:strCache>
                <c:ptCount val="1"/>
                <c:pt idx="0">
                  <c:v>약냉</c:v>
                </c:pt>
              </c:strCache>
            </c:strRef>
          </c:tx>
          <c:spPr>
            <a:ln>
              <a:solidFill>
                <a:srgbClr val="92D05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추론'!$L$60:$AF$60</c:f>
              <c:numCache>
                <c:formatCode>General</c:formatCode>
                <c:ptCount val="21"/>
                <c:pt idx="0">
                  <c:v>0</c:v>
                </c:pt>
                <c:pt idx="1">
                  <c:v>0.2</c:v>
                </c:pt>
                <c:pt idx="2">
                  <c:v>0.3</c:v>
                </c:pt>
                <c:pt idx="3">
                  <c:v>0.3</c:v>
                </c:pt>
                <c:pt idx="4">
                  <c:v>0.3</c:v>
                </c:pt>
                <c:pt idx="5">
                  <c:v>0.3</c:v>
                </c:pt>
                <c:pt idx="6">
                  <c:v>0.3</c:v>
                </c:pt>
                <c:pt idx="7">
                  <c:v>0.3</c:v>
                </c:pt>
                <c:pt idx="8">
                  <c:v>0.3</c:v>
                </c:pt>
                <c:pt idx="9">
                  <c:v>0.3</c:v>
                </c:pt>
                <c:pt idx="10">
                  <c:v>0.2</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CEC0-4477-95E8-31BE6EFE3FBD}"/>
            </c:ext>
          </c:extLst>
        </c:ser>
        <c:dLbls>
          <c:showLegendKey val="0"/>
          <c:showVal val="0"/>
          <c:showCatName val="0"/>
          <c:showSerName val="0"/>
          <c:showPercent val="0"/>
          <c:showBubbleSize val="0"/>
        </c:dLbls>
        <c:smooth val="0"/>
        <c:axId val="72980736"/>
        <c:axId val="72994816"/>
      </c:lineChart>
      <c:catAx>
        <c:axId val="72980736"/>
        <c:scaling>
          <c:orientation val="minMax"/>
        </c:scaling>
        <c:delete val="0"/>
        <c:axPos val="b"/>
        <c:numFmt formatCode="General" sourceLinked="1"/>
        <c:majorTickMark val="out"/>
        <c:minorTickMark val="none"/>
        <c:tickLblPos val="nextTo"/>
        <c:txPr>
          <a:bodyPr/>
          <a:lstStyle/>
          <a:p>
            <a:pPr>
              <a:defRPr lang="ja-JP"/>
            </a:pPr>
            <a:endParaRPr lang="ko-KR"/>
          </a:p>
        </c:txPr>
        <c:crossAx val="72994816"/>
        <c:crosses val="autoZero"/>
        <c:auto val="1"/>
        <c:lblAlgn val="ctr"/>
        <c:lblOffset val="100"/>
        <c:noMultiLvlLbl val="0"/>
      </c:catAx>
      <c:valAx>
        <c:axId val="72994816"/>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298073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추론'!$J$61</c:f>
              <c:strCache>
                <c:ptCount val="1"/>
                <c:pt idx="0">
                  <c:v>강냉</c:v>
                </c:pt>
              </c:strCache>
            </c:strRef>
          </c:tx>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추론'!$L$61:$AF$61</c:f>
              <c:numCache>
                <c:formatCode>General</c:formatCode>
                <c:ptCount val="21"/>
                <c:pt idx="0">
                  <c:v>0.3</c:v>
                </c:pt>
                <c:pt idx="1">
                  <c:v>0.3</c:v>
                </c:pt>
                <c:pt idx="2">
                  <c:v>0.3</c:v>
                </c:pt>
                <c:pt idx="3">
                  <c:v>0.3</c:v>
                </c:pt>
                <c:pt idx="4">
                  <c:v>0.3</c:v>
                </c:pt>
                <c:pt idx="5">
                  <c:v>0.3</c:v>
                </c:pt>
                <c:pt idx="6">
                  <c:v>0.2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3296-48D0-AFFF-D194D4FBA0B6}"/>
            </c:ext>
          </c:extLst>
        </c:ser>
        <c:dLbls>
          <c:showLegendKey val="0"/>
          <c:showVal val="0"/>
          <c:showCatName val="0"/>
          <c:showSerName val="0"/>
          <c:showPercent val="0"/>
          <c:showBubbleSize val="0"/>
        </c:dLbls>
        <c:smooth val="0"/>
        <c:axId val="87310336"/>
        <c:axId val="87311872"/>
      </c:lineChart>
      <c:catAx>
        <c:axId val="87310336"/>
        <c:scaling>
          <c:orientation val="minMax"/>
        </c:scaling>
        <c:delete val="0"/>
        <c:axPos val="b"/>
        <c:numFmt formatCode="General" sourceLinked="1"/>
        <c:majorTickMark val="out"/>
        <c:minorTickMark val="none"/>
        <c:tickLblPos val="nextTo"/>
        <c:txPr>
          <a:bodyPr/>
          <a:lstStyle/>
          <a:p>
            <a:pPr>
              <a:defRPr lang="ja-JP"/>
            </a:pPr>
            <a:endParaRPr lang="ko-KR"/>
          </a:p>
        </c:txPr>
        <c:crossAx val="87311872"/>
        <c:crosses val="autoZero"/>
        <c:auto val="1"/>
        <c:lblAlgn val="ctr"/>
        <c:lblOffset val="100"/>
        <c:noMultiLvlLbl val="0"/>
      </c:catAx>
      <c:valAx>
        <c:axId val="87311872"/>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731033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추론'!$J$62</c:f>
              <c:strCache>
                <c:ptCount val="1"/>
                <c:pt idx="0">
                  <c:v>약냉</c:v>
                </c:pt>
              </c:strCache>
            </c:strRef>
          </c:tx>
          <c:spPr>
            <a:ln>
              <a:solidFill>
                <a:srgbClr val="92D05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추론'!$L$62:$AF$62</c:f>
              <c:numCache>
                <c:formatCode>General</c:formatCode>
                <c:ptCount val="21"/>
                <c:pt idx="0">
                  <c:v>0</c:v>
                </c:pt>
                <c:pt idx="1">
                  <c:v>0.2</c:v>
                </c:pt>
                <c:pt idx="2">
                  <c:v>0.4</c:v>
                </c:pt>
                <c:pt idx="3">
                  <c:v>0.5</c:v>
                </c:pt>
                <c:pt idx="4">
                  <c:v>0.5</c:v>
                </c:pt>
                <c:pt idx="5">
                  <c:v>0.5</c:v>
                </c:pt>
                <c:pt idx="6">
                  <c:v>0.5</c:v>
                </c:pt>
                <c:pt idx="7">
                  <c:v>0.5</c:v>
                </c:pt>
                <c:pt idx="8">
                  <c:v>0.5</c:v>
                </c:pt>
                <c:pt idx="9">
                  <c:v>0.4</c:v>
                </c:pt>
                <c:pt idx="10">
                  <c:v>0.2</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203E-4967-AF12-1E65061A1771}"/>
            </c:ext>
          </c:extLst>
        </c:ser>
        <c:dLbls>
          <c:showLegendKey val="0"/>
          <c:showVal val="0"/>
          <c:showCatName val="0"/>
          <c:showSerName val="0"/>
          <c:showPercent val="0"/>
          <c:showBubbleSize val="0"/>
        </c:dLbls>
        <c:smooth val="0"/>
        <c:axId val="87336832"/>
        <c:axId val="87338368"/>
      </c:lineChart>
      <c:catAx>
        <c:axId val="87336832"/>
        <c:scaling>
          <c:orientation val="minMax"/>
        </c:scaling>
        <c:delete val="0"/>
        <c:axPos val="b"/>
        <c:numFmt formatCode="General" sourceLinked="1"/>
        <c:majorTickMark val="out"/>
        <c:minorTickMark val="none"/>
        <c:tickLblPos val="nextTo"/>
        <c:txPr>
          <a:bodyPr/>
          <a:lstStyle/>
          <a:p>
            <a:pPr>
              <a:defRPr lang="ja-JP"/>
            </a:pPr>
            <a:endParaRPr lang="ko-KR"/>
          </a:p>
        </c:txPr>
        <c:crossAx val="87338368"/>
        <c:crosses val="autoZero"/>
        <c:auto val="1"/>
        <c:lblAlgn val="ctr"/>
        <c:lblOffset val="100"/>
        <c:noMultiLvlLbl val="0"/>
      </c:catAx>
      <c:valAx>
        <c:axId val="87338368"/>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7336832"/>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추론'!$J$63</c:f>
              <c:strCache>
                <c:ptCount val="1"/>
                <c:pt idx="0">
                  <c:v>약난</c:v>
                </c:pt>
              </c:strCache>
            </c:strRef>
          </c:tx>
          <c:spPr>
            <a:ln>
              <a:solidFill>
                <a:srgbClr val="7030A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추론'!$L$63:$AF$63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0AB5-4EF7-907C-B3BE12E90638}"/>
            </c:ext>
          </c:extLst>
        </c:ser>
        <c:dLbls>
          <c:showLegendKey val="0"/>
          <c:showVal val="0"/>
          <c:showCatName val="0"/>
          <c:showSerName val="0"/>
          <c:showPercent val="0"/>
          <c:showBubbleSize val="0"/>
        </c:dLbls>
        <c:smooth val="0"/>
        <c:axId val="87350656"/>
        <c:axId val="88024192"/>
      </c:lineChart>
      <c:catAx>
        <c:axId val="87350656"/>
        <c:scaling>
          <c:orientation val="minMax"/>
        </c:scaling>
        <c:delete val="0"/>
        <c:axPos val="b"/>
        <c:numFmt formatCode="General" sourceLinked="1"/>
        <c:majorTickMark val="out"/>
        <c:minorTickMark val="none"/>
        <c:tickLblPos val="nextTo"/>
        <c:txPr>
          <a:bodyPr/>
          <a:lstStyle/>
          <a:p>
            <a:pPr>
              <a:defRPr lang="ja-JP"/>
            </a:pPr>
            <a:endParaRPr lang="ko-KR"/>
          </a:p>
        </c:txPr>
        <c:crossAx val="88024192"/>
        <c:crosses val="autoZero"/>
        <c:auto val="1"/>
        <c:lblAlgn val="ctr"/>
        <c:lblOffset val="100"/>
        <c:noMultiLvlLbl val="0"/>
      </c:catAx>
      <c:valAx>
        <c:axId val="88024192"/>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735065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추론'!$J$64</c:f>
              <c:strCache>
                <c:ptCount val="1"/>
                <c:pt idx="0">
                  <c:v>약난</c:v>
                </c:pt>
              </c:strCache>
            </c:strRef>
          </c:tx>
          <c:spPr>
            <a:ln>
              <a:solidFill>
                <a:srgbClr val="7030A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추론'!$L$64:$AF$64</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28C5-4D79-950C-D8182630412E}"/>
            </c:ext>
          </c:extLst>
        </c:ser>
        <c:dLbls>
          <c:showLegendKey val="0"/>
          <c:showVal val="0"/>
          <c:showCatName val="0"/>
          <c:showSerName val="0"/>
          <c:showPercent val="0"/>
          <c:showBubbleSize val="0"/>
        </c:dLbls>
        <c:smooth val="0"/>
        <c:axId val="88048768"/>
        <c:axId val="88050304"/>
      </c:lineChart>
      <c:catAx>
        <c:axId val="88048768"/>
        <c:scaling>
          <c:orientation val="minMax"/>
        </c:scaling>
        <c:delete val="0"/>
        <c:axPos val="b"/>
        <c:numFmt formatCode="General" sourceLinked="1"/>
        <c:majorTickMark val="out"/>
        <c:minorTickMark val="none"/>
        <c:tickLblPos val="nextTo"/>
        <c:txPr>
          <a:bodyPr/>
          <a:lstStyle/>
          <a:p>
            <a:pPr>
              <a:defRPr lang="ja-JP"/>
            </a:pPr>
            <a:endParaRPr lang="ko-KR"/>
          </a:p>
        </c:txPr>
        <c:crossAx val="88050304"/>
        <c:crosses val="autoZero"/>
        <c:auto val="1"/>
        <c:lblAlgn val="ctr"/>
        <c:lblOffset val="100"/>
        <c:noMultiLvlLbl val="0"/>
      </c:catAx>
      <c:valAx>
        <c:axId val="88050304"/>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8048768"/>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추론'!$J$65</c:f>
              <c:strCache>
                <c:ptCount val="1"/>
                <c:pt idx="0">
                  <c:v>강난</c:v>
                </c:pt>
              </c:strCache>
            </c:strRef>
          </c:tx>
          <c:spPr>
            <a:ln>
              <a:solidFill>
                <a:srgbClr val="FF000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추론'!$L$65:$AF$65</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7B0E-4852-B2E1-51816C78B7BC}"/>
            </c:ext>
          </c:extLst>
        </c:ser>
        <c:dLbls>
          <c:showLegendKey val="0"/>
          <c:showVal val="0"/>
          <c:showCatName val="0"/>
          <c:showSerName val="0"/>
          <c:showPercent val="0"/>
          <c:showBubbleSize val="0"/>
        </c:dLbls>
        <c:smooth val="0"/>
        <c:axId val="88058496"/>
        <c:axId val="88072576"/>
      </c:lineChart>
      <c:catAx>
        <c:axId val="88058496"/>
        <c:scaling>
          <c:orientation val="minMax"/>
        </c:scaling>
        <c:delete val="0"/>
        <c:axPos val="b"/>
        <c:numFmt formatCode="General" sourceLinked="1"/>
        <c:majorTickMark val="out"/>
        <c:minorTickMark val="none"/>
        <c:tickLblPos val="nextTo"/>
        <c:txPr>
          <a:bodyPr/>
          <a:lstStyle/>
          <a:p>
            <a:pPr>
              <a:defRPr lang="ja-JP"/>
            </a:pPr>
            <a:endParaRPr lang="ko-KR"/>
          </a:p>
        </c:txPr>
        <c:crossAx val="88072576"/>
        <c:crosses val="autoZero"/>
        <c:auto val="1"/>
        <c:lblAlgn val="ctr"/>
        <c:lblOffset val="100"/>
        <c:noMultiLvlLbl val="0"/>
      </c:catAx>
      <c:valAx>
        <c:axId val="88072576"/>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805849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추론'!$J$66</c:f>
              <c:strCache>
                <c:ptCount val="1"/>
                <c:pt idx="0">
                  <c:v>MAX</c:v>
                </c:pt>
              </c:strCache>
            </c:strRef>
          </c:tx>
          <c:spPr>
            <a:ln>
              <a:solidFill>
                <a:srgbClr val="00000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추론'!$L$66:$AF$66</c:f>
              <c:numCache>
                <c:formatCode>General</c:formatCode>
                <c:ptCount val="21"/>
                <c:pt idx="0">
                  <c:v>0.3</c:v>
                </c:pt>
                <c:pt idx="1">
                  <c:v>0.3</c:v>
                </c:pt>
                <c:pt idx="2">
                  <c:v>0.4</c:v>
                </c:pt>
                <c:pt idx="3">
                  <c:v>0.5</c:v>
                </c:pt>
                <c:pt idx="4">
                  <c:v>0.5</c:v>
                </c:pt>
                <c:pt idx="5">
                  <c:v>0.5</c:v>
                </c:pt>
                <c:pt idx="6">
                  <c:v>0.5</c:v>
                </c:pt>
                <c:pt idx="7">
                  <c:v>0.5</c:v>
                </c:pt>
                <c:pt idx="8">
                  <c:v>0.5</c:v>
                </c:pt>
                <c:pt idx="9">
                  <c:v>0.4</c:v>
                </c:pt>
                <c:pt idx="10">
                  <c:v>0.2</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870D-419D-95E0-D1BE42553A49}"/>
            </c:ext>
          </c:extLst>
        </c:ser>
        <c:dLbls>
          <c:showLegendKey val="0"/>
          <c:showVal val="0"/>
          <c:showCatName val="0"/>
          <c:showSerName val="0"/>
          <c:showPercent val="0"/>
          <c:showBubbleSize val="0"/>
        </c:dLbls>
        <c:smooth val="0"/>
        <c:axId val="87769856"/>
        <c:axId val="87771392"/>
      </c:lineChart>
      <c:catAx>
        <c:axId val="87769856"/>
        <c:scaling>
          <c:orientation val="minMax"/>
        </c:scaling>
        <c:delete val="0"/>
        <c:axPos val="b"/>
        <c:numFmt formatCode="General" sourceLinked="1"/>
        <c:majorTickMark val="out"/>
        <c:minorTickMark val="none"/>
        <c:tickLblPos val="nextTo"/>
        <c:txPr>
          <a:bodyPr/>
          <a:lstStyle/>
          <a:p>
            <a:pPr>
              <a:defRPr lang="ja-JP"/>
            </a:pPr>
            <a:endParaRPr lang="ko-KR"/>
          </a:p>
        </c:txPr>
        <c:crossAx val="87771392"/>
        <c:crosses val="autoZero"/>
        <c:auto val="1"/>
        <c:lblAlgn val="ctr"/>
        <c:lblOffset val="100"/>
        <c:noMultiLvlLbl val="0"/>
      </c:catAx>
      <c:valAx>
        <c:axId val="87771392"/>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776985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[2]재산분배!$A$90</c:f>
              <c:strCache>
                <c:ptCount val="1"/>
                <c:pt idx="0">
                  <c:v>적응도 최고</c:v>
                </c:pt>
              </c:strCache>
            </c:strRef>
          </c:tx>
          <c:spPr>
            <a:ln>
              <a:solidFill>
                <a:srgbClr val="FF0000"/>
              </a:solidFill>
            </a:ln>
          </c:spPr>
          <c:marker>
            <c:symbol val="none"/>
          </c:marker>
          <c:cat>
            <c:numRef>
              <c:f>[2]재산분배!$B$89:$AE$89</c:f>
              <c:numCache>
                <c:formatCode>General</c:formatCode>
                <c:ptCount val="30"/>
                <c:pt idx="0">
                  <c:v>3.3333333333333335</c:v>
                </c:pt>
                <c:pt idx="1">
                  <c:v>6.666666666666667</c:v>
                </c:pt>
                <c:pt idx="2">
                  <c:v>10</c:v>
                </c:pt>
                <c:pt idx="3">
                  <c:v>13.333333333333334</c:v>
                </c:pt>
                <c:pt idx="4">
                  <c:v>16.666666666666668</c:v>
                </c:pt>
                <c:pt idx="5">
                  <c:v>20</c:v>
                </c:pt>
                <c:pt idx="6">
                  <c:v>23.333333333333336</c:v>
                </c:pt>
                <c:pt idx="7">
                  <c:v>26.666666666666668</c:v>
                </c:pt>
                <c:pt idx="8">
                  <c:v>30</c:v>
                </c:pt>
                <c:pt idx="9">
                  <c:v>33.333333333333336</c:v>
                </c:pt>
                <c:pt idx="10">
                  <c:v>36.666666666666671</c:v>
                </c:pt>
                <c:pt idx="11">
                  <c:v>40</c:v>
                </c:pt>
                <c:pt idx="12">
                  <c:v>43.333333333333336</c:v>
                </c:pt>
                <c:pt idx="13">
                  <c:v>46.666666666666671</c:v>
                </c:pt>
                <c:pt idx="14">
                  <c:v>50</c:v>
                </c:pt>
                <c:pt idx="15">
                  <c:v>53.333333333333336</c:v>
                </c:pt>
                <c:pt idx="16">
                  <c:v>56.666666666666671</c:v>
                </c:pt>
                <c:pt idx="17">
                  <c:v>60</c:v>
                </c:pt>
                <c:pt idx="18">
                  <c:v>63.333333333333336</c:v>
                </c:pt>
                <c:pt idx="19">
                  <c:v>66.666666666666671</c:v>
                </c:pt>
                <c:pt idx="20">
                  <c:v>70</c:v>
                </c:pt>
                <c:pt idx="21">
                  <c:v>73.333333333333343</c:v>
                </c:pt>
                <c:pt idx="22">
                  <c:v>76.666666666666671</c:v>
                </c:pt>
                <c:pt idx="23">
                  <c:v>80</c:v>
                </c:pt>
                <c:pt idx="24">
                  <c:v>83.333333333333343</c:v>
                </c:pt>
                <c:pt idx="25">
                  <c:v>86.666666666666671</c:v>
                </c:pt>
                <c:pt idx="26">
                  <c:v>90</c:v>
                </c:pt>
                <c:pt idx="27">
                  <c:v>93.333333333333343</c:v>
                </c:pt>
                <c:pt idx="28">
                  <c:v>96.666666666666671</c:v>
                </c:pt>
                <c:pt idx="29">
                  <c:v>100</c:v>
                </c:pt>
              </c:numCache>
            </c:numRef>
          </c:cat>
          <c:val>
            <c:numRef>
              <c:f>[2]재산분배!$B$90:$AE$90</c:f>
              <c:numCache>
                <c:formatCode>General</c:formatCode>
                <c:ptCount val="30"/>
                <c:pt idx="0">
                  <c:v>44</c:v>
                </c:pt>
                <c:pt idx="1">
                  <c:v>44</c:v>
                </c:pt>
                <c:pt idx="2">
                  <c:v>44</c:v>
                </c:pt>
                <c:pt idx="3">
                  <c:v>44</c:v>
                </c:pt>
                <c:pt idx="4">
                  <c:v>54</c:v>
                </c:pt>
              </c:numCache>
            </c:numRef>
          </c:val>
          <c:smooth val="0"/>
          <c:extLst>
            <c:ext xmlns:c16="http://schemas.microsoft.com/office/drawing/2014/chart" uri="{C3380CC4-5D6E-409C-BE32-E72D297353CC}">
              <c16:uniqueId val="{00000000-0588-4450-B2C4-67E52E33313C}"/>
            </c:ext>
          </c:extLst>
        </c:ser>
        <c:ser>
          <c:idx val="1"/>
          <c:order val="1"/>
          <c:tx>
            <c:strRef>
              <c:f>[2]재산분배!$A$91</c:f>
              <c:strCache>
                <c:ptCount val="1"/>
                <c:pt idx="0">
                  <c:v>적응도 평균</c:v>
                </c:pt>
              </c:strCache>
            </c:strRef>
          </c:tx>
          <c:spPr>
            <a:ln>
              <a:solidFill>
                <a:srgbClr val="0000FF"/>
              </a:solidFill>
            </a:ln>
          </c:spPr>
          <c:marker>
            <c:symbol val="none"/>
          </c:marker>
          <c:cat>
            <c:numRef>
              <c:f>[2]재산분배!$B$89:$AE$89</c:f>
              <c:numCache>
                <c:formatCode>General</c:formatCode>
                <c:ptCount val="30"/>
                <c:pt idx="0">
                  <c:v>3.3333333333333335</c:v>
                </c:pt>
                <c:pt idx="1">
                  <c:v>6.666666666666667</c:v>
                </c:pt>
                <c:pt idx="2">
                  <c:v>10</c:v>
                </c:pt>
                <c:pt idx="3">
                  <c:v>13.333333333333334</c:v>
                </c:pt>
                <c:pt idx="4">
                  <c:v>16.666666666666668</c:v>
                </c:pt>
                <c:pt idx="5">
                  <c:v>20</c:v>
                </c:pt>
                <c:pt idx="6">
                  <c:v>23.333333333333336</c:v>
                </c:pt>
                <c:pt idx="7">
                  <c:v>26.666666666666668</c:v>
                </c:pt>
                <c:pt idx="8">
                  <c:v>30</c:v>
                </c:pt>
                <c:pt idx="9">
                  <c:v>33.333333333333336</c:v>
                </c:pt>
                <c:pt idx="10">
                  <c:v>36.666666666666671</c:v>
                </c:pt>
                <c:pt idx="11">
                  <c:v>40</c:v>
                </c:pt>
                <c:pt idx="12">
                  <c:v>43.333333333333336</c:v>
                </c:pt>
                <c:pt idx="13">
                  <c:v>46.666666666666671</c:v>
                </c:pt>
                <c:pt idx="14">
                  <c:v>50</c:v>
                </c:pt>
                <c:pt idx="15">
                  <c:v>53.333333333333336</c:v>
                </c:pt>
                <c:pt idx="16">
                  <c:v>56.666666666666671</c:v>
                </c:pt>
                <c:pt idx="17">
                  <c:v>60</c:v>
                </c:pt>
                <c:pt idx="18">
                  <c:v>63.333333333333336</c:v>
                </c:pt>
                <c:pt idx="19">
                  <c:v>66.666666666666671</c:v>
                </c:pt>
                <c:pt idx="20">
                  <c:v>70</c:v>
                </c:pt>
                <c:pt idx="21">
                  <c:v>73.333333333333343</c:v>
                </c:pt>
                <c:pt idx="22">
                  <c:v>76.666666666666671</c:v>
                </c:pt>
                <c:pt idx="23">
                  <c:v>80</c:v>
                </c:pt>
                <c:pt idx="24">
                  <c:v>83.333333333333343</c:v>
                </c:pt>
                <c:pt idx="25">
                  <c:v>86.666666666666671</c:v>
                </c:pt>
                <c:pt idx="26">
                  <c:v>90</c:v>
                </c:pt>
                <c:pt idx="27">
                  <c:v>93.333333333333343</c:v>
                </c:pt>
                <c:pt idx="28">
                  <c:v>96.666666666666671</c:v>
                </c:pt>
                <c:pt idx="29">
                  <c:v>100</c:v>
                </c:pt>
              </c:numCache>
            </c:numRef>
          </c:cat>
          <c:val>
            <c:numRef>
              <c:f>[2]재산분배!$B$91:$AE$91</c:f>
              <c:numCache>
                <c:formatCode>General</c:formatCode>
                <c:ptCount val="30"/>
                <c:pt idx="0">
                  <c:v>52.5</c:v>
                </c:pt>
                <c:pt idx="1">
                  <c:v>52.5</c:v>
                </c:pt>
                <c:pt idx="2">
                  <c:v>48.75</c:v>
                </c:pt>
                <c:pt idx="3">
                  <c:v>53.25</c:v>
                </c:pt>
                <c:pt idx="4">
                  <c:v>55.75</c:v>
                </c:pt>
              </c:numCache>
            </c:numRef>
          </c:val>
          <c:smooth val="0"/>
          <c:extLst>
            <c:ext xmlns:c16="http://schemas.microsoft.com/office/drawing/2014/chart" uri="{C3380CC4-5D6E-409C-BE32-E72D297353CC}">
              <c16:uniqueId val="{00000001-0588-4450-B2C4-67E52E33313C}"/>
            </c:ext>
          </c:extLst>
        </c:ser>
        <c:ser>
          <c:idx val="2"/>
          <c:order val="2"/>
          <c:tx>
            <c:strRef>
              <c:f>[2]재산분배!$A$92</c:f>
              <c:strCache>
                <c:ptCount val="1"/>
                <c:pt idx="0">
                  <c:v>ε-line</c:v>
                </c:pt>
              </c:strCache>
            </c:strRef>
          </c:tx>
          <c:marker>
            <c:symbol val="none"/>
          </c:marker>
          <c:cat>
            <c:numRef>
              <c:f>[2]재산분배!$B$89:$AE$89</c:f>
              <c:numCache>
                <c:formatCode>General</c:formatCode>
                <c:ptCount val="30"/>
                <c:pt idx="0">
                  <c:v>3.3333333333333335</c:v>
                </c:pt>
                <c:pt idx="1">
                  <c:v>6.666666666666667</c:v>
                </c:pt>
                <c:pt idx="2">
                  <c:v>10</c:v>
                </c:pt>
                <c:pt idx="3">
                  <c:v>13.333333333333334</c:v>
                </c:pt>
                <c:pt idx="4">
                  <c:v>16.666666666666668</c:v>
                </c:pt>
                <c:pt idx="5">
                  <c:v>20</c:v>
                </c:pt>
                <c:pt idx="6">
                  <c:v>23.333333333333336</c:v>
                </c:pt>
                <c:pt idx="7">
                  <c:v>26.666666666666668</c:v>
                </c:pt>
                <c:pt idx="8">
                  <c:v>30</c:v>
                </c:pt>
                <c:pt idx="9">
                  <c:v>33.333333333333336</c:v>
                </c:pt>
                <c:pt idx="10">
                  <c:v>36.666666666666671</c:v>
                </c:pt>
                <c:pt idx="11">
                  <c:v>40</c:v>
                </c:pt>
                <c:pt idx="12">
                  <c:v>43.333333333333336</c:v>
                </c:pt>
                <c:pt idx="13">
                  <c:v>46.666666666666671</c:v>
                </c:pt>
                <c:pt idx="14">
                  <c:v>50</c:v>
                </c:pt>
                <c:pt idx="15">
                  <c:v>53.333333333333336</c:v>
                </c:pt>
                <c:pt idx="16">
                  <c:v>56.666666666666671</c:v>
                </c:pt>
                <c:pt idx="17">
                  <c:v>60</c:v>
                </c:pt>
                <c:pt idx="18">
                  <c:v>63.333333333333336</c:v>
                </c:pt>
                <c:pt idx="19">
                  <c:v>66.666666666666671</c:v>
                </c:pt>
                <c:pt idx="20">
                  <c:v>70</c:v>
                </c:pt>
                <c:pt idx="21">
                  <c:v>73.333333333333343</c:v>
                </c:pt>
                <c:pt idx="22">
                  <c:v>76.666666666666671</c:v>
                </c:pt>
                <c:pt idx="23">
                  <c:v>80</c:v>
                </c:pt>
                <c:pt idx="24">
                  <c:v>83.333333333333343</c:v>
                </c:pt>
                <c:pt idx="25">
                  <c:v>86.666666666666671</c:v>
                </c:pt>
                <c:pt idx="26">
                  <c:v>90</c:v>
                </c:pt>
                <c:pt idx="27">
                  <c:v>93.333333333333343</c:v>
                </c:pt>
                <c:pt idx="28">
                  <c:v>96.666666666666671</c:v>
                </c:pt>
                <c:pt idx="29">
                  <c:v>100</c:v>
                </c:pt>
              </c:numCache>
            </c:numRef>
          </c:cat>
          <c:val>
            <c:numRef>
              <c:f>[2]재산분배!$B$92:$AE$92</c:f>
              <c:numCache>
                <c:formatCode>General</c:formatCode>
                <c:ptCount val="30"/>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0588-4450-B2C4-67E52E33313C}"/>
            </c:ext>
          </c:extLst>
        </c:ser>
        <c:dLbls>
          <c:showLegendKey val="0"/>
          <c:showVal val="0"/>
          <c:showCatName val="0"/>
          <c:showSerName val="0"/>
          <c:showPercent val="0"/>
          <c:showBubbleSize val="0"/>
        </c:dLbls>
        <c:smooth val="0"/>
        <c:axId val="208623872"/>
        <c:axId val="209604608"/>
      </c:lineChart>
      <c:catAx>
        <c:axId val="208623872"/>
        <c:scaling>
          <c:orientation val="minMax"/>
        </c:scaling>
        <c:delete val="0"/>
        <c:axPos val="b"/>
        <c:numFmt formatCode="General" sourceLinked="1"/>
        <c:majorTickMark val="out"/>
        <c:minorTickMark val="none"/>
        <c:tickLblPos val="nextTo"/>
        <c:txPr>
          <a:bodyPr/>
          <a:lstStyle/>
          <a:p>
            <a:pPr>
              <a:defRPr lang="ja-JP"/>
            </a:pPr>
            <a:endParaRPr lang="ko-KR"/>
          </a:p>
        </c:txPr>
        <c:crossAx val="209604608"/>
        <c:crosses val="autoZero"/>
        <c:auto val="1"/>
        <c:lblAlgn val="ctr"/>
        <c:lblOffset val="100"/>
        <c:noMultiLvlLbl val="0"/>
      </c:catAx>
      <c:valAx>
        <c:axId val="209604608"/>
        <c:scaling>
          <c:orientation val="minMax"/>
        </c:scaling>
        <c:delete val="0"/>
        <c:axPos val="l"/>
        <c:majorGridlines/>
        <c:numFmt formatCode="General" sourceLinked="1"/>
        <c:majorTickMark val="out"/>
        <c:minorTickMark val="none"/>
        <c:tickLblPos val="nextTo"/>
        <c:txPr>
          <a:bodyPr/>
          <a:lstStyle/>
          <a:p>
            <a:pPr>
              <a:defRPr lang="ja-JP"/>
            </a:pPr>
            <a:endParaRPr lang="ko-KR"/>
          </a:p>
        </c:txPr>
        <c:crossAx val="208623872"/>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9525</xdr:colOff>
      <xdr:row>20</xdr:row>
      <xdr:rowOff>142875</xdr:rowOff>
    </xdr:from>
    <xdr:to>
      <xdr:col>15</xdr:col>
      <xdr:colOff>9524</xdr:colOff>
      <xdr:row>31</xdr:row>
      <xdr:rowOff>180975</xdr:rowOff>
    </xdr:to>
    <xdr:graphicFrame macro="">
      <xdr:nvGraphicFramePr>
        <xdr:cNvPr id="2" name="グラフ 2">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85725</xdr:colOff>
      <xdr:row>22</xdr:row>
      <xdr:rowOff>53975</xdr:rowOff>
    </xdr:from>
    <xdr:ext cx="466794" cy="336246"/>
    <xdr:sp macro="" textlink="">
      <xdr:nvSpPr>
        <xdr:cNvPr id="3" name="テキスト ボックス 5">
          <a:extLst>
            <a:ext uri="{FF2B5EF4-FFF2-40B4-BE49-F238E27FC236}">
              <a16:creationId xmlns:a16="http://schemas.microsoft.com/office/drawing/2014/main" id="{00000000-0008-0000-0700-000003000000}"/>
            </a:ext>
          </a:extLst>
        </xdr:cNvPr>
        <xdr:cNvSpPr txBox="1"/>
      </xdr:nvSpPr>
      <xdr:spPr>
        <a:xfrm>
          <a:off x="3088005" y="3871595"/>
          <a:ext cx="466794"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ko-KR" altLang="en-US" sz="1100"/>
            <a:t>온도</a:t>
          </a:r>
          <a:endParaRPr kumimoji="1" lang="en-US" altLang="ko-KR" sz="1100"/>
        </a:p>
      </xdr:txBody>
    </xdr:sp>
    <xdr:clientData/>
  </xdr:oneCellAnchor>
  <xdr:twoCellAnchor>
    <xdr:from>
      <xdr:col>15</xdr:col>
      <xdr:colOff>126999</xdr:colOff>
      <xdr:row>21</xdr:row>
      <xdr:rowOff>3175</xdr:rowOff>
    </xdr:from>
    <xdr:to>
      <xdr:col>28</xdr:col>
      <xdr:colOff>193674</xdr:colOff>
      <xdr:row>31</xdr:row>
      <xdr:rowOff>187325</xdr:rowOff>
    </xdr:to>
    <xdr:graphicFrame macro="">
      <xdr:nvGraphicFramePr>
        <xdr:cNvPr id="4" name="グラフ 7">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644524</xdr:colOff>
      <xdr:row>30</xdr:row>
      <xdr:rowOff>149225</xdr:rowOff>
    </xdr:from>
    <xdr:to>
      <xdr:col>39</xdr:col>
      <xdr:colOff>669924</xdr:colOff>
      <xdr:row>40</xdr:row>
      <xdr:rowOff>53975</xdr:rowOff>
    </xdr:to>
    <xdr:graphicFrame macro="">
      <xdr:nvGraphicFramePr>
        <xdr:cNvPr id="5" name="グラフ 10">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13</xdr:col>
      <xdr:colOff>212725</xdr:colOff>
      <xdr:row>32</xdr:row>
      <xdr:rowOff>152400</xdr:rowOff>
    </xdr:from>
    <xdr:ext cx="607859" cy="336246"/>
    <xdr:sp macro="" textlink="">
      <xdr:nvSpPr>
        <xdr:cNvPr id="6" name="テキスト ボックス 11">
          <a:extLst>
            <a:ext uri="{FF2B5EF4-FFF2-40B4-BE49-F238E27FC236}">
              <a16:creationId xmlns:a16="http://schemas.microsoft.com/office/drawing/2014/main" id="{00000000-0008-0000-0700-000006000000}"/>
            </a:ext>
          </a:extLst>
        </xdr:cNvPr>
        <xdr:cNvSpPr txBox="1"/>
      </xdr:nvSpPr>
      <xdr:spPr>
        <a:xfrm>
          <a:off x="3443605" y="5928360"/>
          <a:ext cx="607859"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ko-KR" altLang="en-US" sz="1100"/>
            <a:t>제어값</a:t>
          </a:r>
          <a:endParaRPr kumimoji="1" lang="en-US" altLang="ko-KR" sz="1100"/>
        </a:p>
      </xdr:txBody>
    </xdr:sp>
    <xdr:clientData/>
  </xdr:oneCellAnchor>
  <xdr:twoCellAnchor>
    <xdr:from>
      <xdr:col>0</xdr:col>
      <xdr:colOff>66675</xdr:colOff>
      <xdr:row>65</xdr:row>
      <xdr:rowOff>47625</xdr:rowOff>
    </xdr:from>
    <xdr:to>
      <xdr:col>17</xdr:col>
      <xdr:colOff>142875</xdr:colOff>
      <xdr:row>73</xdr:row>
      <xdr:rowOff>123825</xdr:rowOff>
    </xdr:to>
    <xdr:graphicFrame macro="">
      <xdr:nvGraphicFramePr>
        <xdr:cNvPr id="7" name="グラフ 13">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74</xdr:row>
      <xdr:rowOff>0</xdr:rowOff>
    </xdr:from>
    <xdr:to>
      <xdr:col>17</xdr:col>
      <xdr:colOff>142875</xdr:colOff>
      <xdr:row>82</xdr:row>
      <xdr:rowOff>38100</xdr:rowOff>
    </xdr:to>
    <xdr:graphicFrame macro="">
      <xdr:nvGraphicFramePr>
        <xdr:cNvPr id="8" name="グラフ 14">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66675</xdr:colOff>
      <xdr:row>82</xdr:row>
      <xdr:rowOff>85725</xdr:rowOff>
    </xdr:from>
    <xdr:to>
      <xdr:col>17</xdr:col>
      <xdr:colOff>142875</xdr:colOff>
      <xdr:row>90</xdr:row>
      <xdr:rowOff>104775</xdr:rowOff>
    </xdr:to>
    <xdr:graphicFrame macro="">
      <xdr:nvGraphicFramePr>
        <xdr:cNvPr id="9" name="グラフ 16">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66675</xdr:colOff>
      <xdr:row>90</xdr:row>
      <xdr:rowOff>161925</xdr:rowOff>
    </xdr:from>
    <xdr:to>
      <xdr:col>17</xdr:col>
      <xdr:colOff>142875</xdr:colOff>
      <xdr:row>99</xdr:row>
      <xdr:rowOff>38100</xdr:rowOff>
    </xdr:to>
    <xdr:graphicFrame macro="">
      <xdr:nvGraphicFramePr>
        <xdr:cNvPr id="10" name="グラフ 17">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66675</xdr:colOff>
      <xdr:row>99</xdr:row>
      <xdr:rowOff>76200</xdr:rowOff>
    </xdr:from>
    <xdr:to>
      <xdr:col>17</xdr:col>
      <xdr:colOff>142875</xdr:colOff>
      <xdr:row>107</xdr:row>
      <xdr:rowOff>76200</xdr:rowOff>
    </xdr:to>
    <xdr:graphicFrame macro="">
      <xdr:nvGraphicFramePr>
        <xdr:cNvPr id="11" name="グラフ 18">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66675</xdr:colOff>
      <xdr:row>107</xdr:row>
      <xdr:rowOff>123825</xdr:rowOff>
    </xdr:from>
    <xdr:to>
      <xdr:col>17</xdr:col>
      <xdr:colOff>142875</xdr:colOff>
      <xdr:row>115</xdr:row>
      <xdr:rowOff>133350</xdr:rowOff>
    </xdr:to>
    <xdr:graphicFrame macro="">
      <xdr:nvGraphicFramePr>
        <xdr:cNvPr id="12" name="グラフ 19">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85725</xdr:colOff>
      <xdr:row>118</xdr:row>
      <xdr:rowOff>47625</xdr:rowOff>
    </xdr:from>
    <xdr:to>
      <xdr:col>17</xdr:col>
      <xdr:colOff>161925</xdr:colOff>
      <xdr:row>127</xdr:row>
      <xdr:rowOff>123825</xdr:rowOff>
    </xdr:to>
    <xdr:graphicFrame macro="">
      <xdr:nvGraphicFramePr>
        <xdr:cNvPr id="13" name="グラフ 20">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15</xdr:col>
      <xdr:colOff>142875</xdr:colOff>
      <xdr:row>65</xdr:row>
      <xdr:rowOff>142875</xdr:rowOff>
    </xdr:from>
    <xdr:ext cx="373115" cy="311496"/>
    <xdr:sp macro="" textlink="">
      <xdr:nvSpPr>
        <xdr:cNvPr id="14" name="テキスト ボックス 23">
          <a:extLst>
            <a:ext uri="{FF2B5EF4-FFF2-40B4-BE49-F238E27FC236}">
              <a16:creationId xmlns:a16="http://schemas.microsoft.com/office/drawing/2014/main" id="{00000000-0008-0000-0700-00000E000000}"/>
            </a:ext>
          </a:extLst>
        </xdr:cNvPr>
        <xdr:cNvSpPr txBox="1"/>
      </xdr:nvSpPr>
      <xdr:spPr>
        <a:xfrm>
          <a:off x="3830955" y="13294995"/>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R1</a:t>
          </a:r>
          <a:endParaRPr kumimoji="1" lang="ja-JP" altLang="en-US" sz="1400"/>
        </a:p>
      </xdr:txBody>
    </xdr:sp>
    <xdr:clientData/>
  </xdr:oneCellAnchor>
  <xdr:oneCellAnchor>
    <xdr:from>
      <xdr:col>15</xdr:col>
      <xdr:colOff>180975</xdr:colOff>
      <xdr:row>82</xdr:row>
      <xdr:rowOff>133350</xdr:rowOff>
    </xdr:from>
    <xdr:ext cx="373115" cy="311496"/>
    <xdr:sp macro="" textlink="">
      <xdr:nvSpPr>
        <xdr:cNvPr id="15" name="テキスト ボックス 24">
          <a:extLst>
            <a:ext uri="{FF2B5EF4-FFF2-40B4-BE49-F238E27FC236}">
              <a16:creationId xmlns:a16="http://schemas.microsoft.com/office/drawing/2014/main" id="{00000000-0008-0000-0700-00000F000000}"/>
            </a:ext>
          </a:extLst>
        </xdr:cNvPr>
        <xdr:cNvSpPr txBox="1"/>
      </xdr:nvSpPr>
      <xdr:spPr>
        <a:xfrm>
          <a:off x="3869055" y="1704213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R3</a:t>
          </a:r>
          <a:endParaRPr kumimoji="1" lang="ja-JP" altLang="en-US" sz="1400"/>
        </a:p>
      </xdr:txBody>
    </xdr:sp>
    <xdr:clientData/>
  </xdr:oneCellAnchor>
  <xdr:oneCellAnchor>
    <xdr:from>
      <xdr:col>15</xdr:col>
      <xdr:colOff>180975</xdr:colOff>
      <xdr:row>91</xdr:row>
      <xdr:rowOff>38100</xdr:rowOff>
    </xdr:from>
    <xdr:ext cx="373115" cy="311496"/>
    <xdr:sp macro="" textlink="">
      <xdr:nvSpPr>
        <xdr:cNvPr id="16" name="テキスト ボックス 25">
          <a:extLst>
            <a:ext uri="{FF2B5EF4-FFF2-40B4-BE49-F238E27FC236}">
              <a16:creationId xmlns:a16="http://schemas.microsoft.com/office/drawing/2014/main" id="{00000000-0008-0000-0700-000010000000}"/>
            </a:ext>
          </a:extLst>
        </xdr:cNvPr>
        <xdr:cNvSpPr txBox="1"/>
      </xdr:nvSpPr>
      <xdr:spPr>
        <a:xfrm>
          <a:off x="3869055" y="1893570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R4</a:t>
          </a:r>
          <a:endParaRPr kumimoji="1" lang="ja-JP" altLang="en-US" sz="1400"/>
        </a:p>
      </xdr:txBody>
    </xdr:sp>
    <xdr:clientData/>
  </xdr:oneCellAnchor>
  <xdr:oneCellAnchor>
    <xdr:from>
      <xdr:col>15</xdr:col>
      <xdr:colOff>180975</xdr:colOff>
      <xdr:row>99</xdr:row>
      <xdr:rowOff>133350</xdr:rowOff>
    </xdr:from>
    <xdr:ext cx="373115" cy="311496"/>
    <xdr:sp macro="" textlink="">
      <xdr:nvSpPr>
        <xdr:cNvPr id="17" name="テキスト ボックス 26">
          <a:extLst>
            <a:ext uri="{FF2B5EF4-FFF2-40B4-BE49-F238E27FC236}">
              <a16:creationId xmlns:a16="http://schemas.microsoft.com/office/drawing/2014/main" id="{00000000-0008-0000-0700-000011000000}"/>
            </a:ext>
          </a:extLst>
        </xdr:cNvPr>
        <xdr:cNvSpPr txBox="1"/>
      </xdr:nvSpPr>
      <xdr:spPr>
        <a:xfrm>
          <a:off x="3869055" y="2079879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R5</a:t>
          </a:r>
          <a:endParaRPr kumimoji="1" lang="ja-JP" altLang="en-US" sz="1400"/>
        </a:p>
      </xdr:txBody>
    </xdr:sp>
    <xdr:clientData/>
  </xdr:oneCellAnchor>
  <xdr:oneCellAnchor>
    <xdr:from>
      <xdr:col>15</xdr:col>
      <xdr:colOff>180975</xdr:colOff>
      <xdr:row>108</xdr:row>
      <xdr:rowOff>0</xdr:rowOff>
    </xdr:from>
    <xdr:ext cx="373115" cy="311496"/>
    <xdr:sp macro="" textlink="">
      <xdr:nvSpPr>
        <xdr:cNvPr id="18" name="テキスト ボックス 27">
          <a:extLst>
            <a:ext uri="{FF2B5EF4-FFF2-40B4-BE49-F238E27FC236}">
              <a16:creationId xmlns:a16="http://schemas.microsoft.com/office/drawing/2014/main" id="{00000000-0008-0000-0700-000012000000}"/>
            </a:ext>
          </a:extLst>
        </xdr:cNvPr>
        <xdr:cNvSpPr txBox="1"/>
      </xdr:nvSpPr>
      <xdr:spPr>
        <a:xfrm>
          <a:off x="3869055" y="2265426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R6</a:t>
          </a:r>
          <a:endParaRPr kumimoji="1" lang="ja-JP" altLang="en-US" sz="1400"/>
        </a:p>
      </xdr:txBody>
    </xdr:sp>
    <xdr:clientData/>
  </xdr:oneCellAnchor>
  <xdr:oneCellAnchor>
    <xdr:from>
      <xdr:col>15</xdr:col>
      <xdr:colOff>38100</xdr:colOff>
      <xdr:row>118</xdr:row>
      <xdr:rowOff>95250</xdr:rowOff>
    </xdr:from>
    <xdr:ext cx="535211" cy="311496"/>
    <xdr:sp macro="" textlink="">
      <xdr:nvSpPr>
        <xdr:cNvPr id="19" name="テキスト ボックス 29">
          <a:extLst>
            <a:ext uri="{FF2B5EF4-FFF2-40B4-BE49-F238E27FC236}">
              <a16:creationId xmlns:a16="http://schemas.microsoft.com/office/drawing/2014/main" id="{00000000-0008-0000-0700-000013000000}"/>
            </a:ext>
          </a:extLst>
        </xdr:cNvPr>
        <xdr:cNvSpPr txBox="1"/>
      </xdr:nvSpPr>
      <xdr:spPr>
        <a:xfrm>
          <a:off x="3726180" y="24982170"/>
          <a:ext cx="53521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MAX</a:t>
          </a:r>
          <a:endParaRPr kumimoji="1" lang="ja-JP" altLang="en-US" sz="1400"/>
        </a:p>
      </xdr:txBody>
    </xdr:sp>
    <xdr:clientData/>
  </xdr:oneCellAnchor>
  <xdr:oneCellAnchor>
    <xdr:from>
      <xdr:col>18</xdr:col>
      <xdr:colOff>209550</xdr:colOff>
      <xdr:row>110</xdr:row>
      <xdr:rowOff>28576</xdr:rowOff>
    </xdr:from>
    <xdr:ext cx="3057525" cy="3257549"/>
    <xdr:sp macro="" textlink="">
      <xdr:nvSpPr>
        <xdr:cNvPr id="20" name="テキスト ボックス 1">
          <a:extLst>
            <a:ext uri="{FF2B5EF4-FFF2-40B4-BE49-F238E27FC236}">
              <a16:creationId xmlns:a16="http://schemas.microsoft.com/office/drawing/2014/main" id="{00000000-0008-0000-0700-000014000000}"/>
            </a:ext>
          </a:extLst>
        </xdr:cNvPr>
        <xdr:cNvSpPr txBox="1"/>
      </xdr:nvSpPr>
      <xdr:spPr>
        <a:xfrm>
          <a:off x="4583430" y="23124796"/>
          <a:ext cx="3057525" cy="3257549"/>
        </a:xfrm>
        <a:prstGeom prst="rect">
          <a:avLst/>
        </a:prstGeom>
        <a:noFill/>
        <a:ln w="6350" cmpd="sng">
          <a:solidFill>
            <a:sysClr val="windowText" lastClr="000000"/>
          </a:solidFill>
          <a:prstDash val="solid"/>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t>Sub defuzzy()</a:t>
          </a:r>
        </a:p>
        <a:p>
          <a:r>
            <a:rPr kumimoji="1" lang="en-US" altLang="ja-JP" sz="1100"/>
            <a:t>   Dim i, s, x, p As Integer</a:t>
          </a:r>
        </a:p>
        <a:p>
          <a:r>
            <a:rPr kumimoji="1" lang="en-US" altLang="ja-JP" sz="1100"/>
            <a:t>   s = 0</a:t>
          </a:r>
        </a:p>
        <a:p>
          <a:r>
            <a:rPr kumimoji="1" lang="en-US" altLang="ja-JP" sz="1100"/>
            <a:t>   For i = 0 To 20</a:t>
          </a:r>
        </a:p>
        <a:p>
          <a:r>
            <a:rPr kumimoji="1" lang="en-US" altLang="ja-JP" sz="1100"/>
            <a:t>      s = s + Cells(66, i + 12).Value </a:t>
          </a:r>
          <a:r>
            <a:rPr kumimoji="1" lang="ja-JP" altLang="en-US" sz="1100"/>
            <a:t>　　　’ </a:t>
          </a:r>
          <a:r>
            <a:rPr kumimoji="1" lang="en-US" altLang="ja-JP" sz="1100"/>
            <a:t>L66-AF66</a:t>
          </a:r>
          <a:endParaRPr kumimoji="1" lang="ja-JP" altLang="en-US" sz="1100"/>
        </a:p>
        <a:p>
          <a:r>
            <a:rPr kumimoji="1" lang="ja-JP" altLang="en-US" sz="1100"/>
            <a:t>   </a:t>
          </a:r>
          <a:r>
            <a:rPr kumimoji="1" lang="en-US" altLang="ja-JP" sz="1100"/>
            <a:t>Next i</a:t>
          </a:r>
        </a:p>
        <a:p>
          <a:r>
            <a:rPr kumimoji="1" lang="en-US" altLang="ja-JP" sz="1100"/>
            <a:t>   s = s / 2                  </a:t>
          </a:r>
          <a:r>
            <a:rPr kumimoji="1" lang="ja-JP" altLang="en-US" sz="1100"/>
            <a:t>　　</a:t>
          </a:r>
          <a:r>
            <a:rPr kumimoji="1" lang="en-US" altLang="ja-JP" sz="1100"/>
            <a:t>  ' </a:t>
          </a:r>
          <a:r>
            <a:rPr kumimoji="1" lang="ko-KR" altLang="en-US" sz="1100"/>
            <a:t>합성 함수 면적의 반</a:t>
          </a:r>
          <a:endParaRPr kumimoji="1" lang="ja-JP" altLang="en-US" sz="1100"/>
        </a:p>
        <a:p>
          <a:r>
            <a:rPr kumimoji="1" lang="ja-JP" altLang="en-US" sz="1100"/>
            <a:t>   </a:t>
          </a:r>
          <a:r>
            <a:rPr kumimoji="1" lang="en-US" altLang="ja-JP" sz="1100"/>
            <a:t>x = 0</a:t>
          </a:r>
        </a:p>
        <a:p>
          <a:r>
            <a:rPr kumimoji="1" lang="en-US" altLang="ja-JP" sz="1100"/>
            <a:t>   For i = 0 To 20</a:t>
          </a:r>
        </a:p>
        <a:p>
          <a:r>
            <a:rPr kumimoji="1" lang="en-US" altLang="ja-JP" sz="1100"/>
            <a:t>      x = x + Cells(66, i + 12).Value         ' </a:t>
          </a:r>
          <a:r>
            <a:rPr kumimoji="1" lang="ko-KR" altLang="en-US" sz="1100"/>
            <a:t>다시 합산</a:t>
          </a:r>
          <a:endParaRPr kumimoji="1" lang="ja-JP" altLang="en-US" sz="1100"/>
        </a:p>
        <a:p>
          <a:r>
            <a:rPr kumimoji="1" lang="ja-JP" altLang="en-US" sz="1100"/>
            <a:t>      </a:t>
          </a:r>
          <a:r>
            <a:rPr kumimoji="1" lang="en-US" altLang="ja-JP" sz="1100"/>
            <a:t>If x &gt;= s Then                                </a:t>
          </a:r>
          <a:endParaRPr kumimoji="1" lang="ja-JP" altLang="en-US" sz="1100"/>
        </a:p>
        <a:p>
          <a:r>
            <a:rPr kumimoji="1" lang="ja-JP" altLang="en-US" sz="1100"/>
            <a:t>        </a:t>
          </a:r>
          <a:r>
            <a:rPr kumimoji="1" lang="en-US" altLang="ja-JP" sz="1100"/>
            <a:t>Exit For</a:t>
          </a:r>
        </a:p>
        <a:p>
          <a:r>
            <a:rPr kumimoji="1" lang="en-US" altLang="ja-JP" sz="1100"/>
            <a:t>      End If</a:t>
          </a:r>
        </a:p>
        <a:p>
          <a:r>
            <a:rPr kumimoji="1" lang="en-US" altLang="ja-JP" sz="1100"/>
            <a:t>   Next i</a:t>
          </a:r>
        </a:p>
        <a:p>
          <a:r>
            <a:rPr kumimoji="1" lang="en-US" altLang="ja-JP" sz="1100"/>
            <a:t>   Cells(52, 29).Value = Cells(59, i + 12).Value </a:t>
          </a:r>
        </a:p>
        <a:p>
          <a:r>
            <a:rPr kumimoji="1" lang="ja-JP" altLang="en-US" sz="1100"/>
            <a:t>　　　</a:t>
          </a:r>
          <a:r>
            <a:rPr kumimoji="1" lang="en-US" altLang="ja-JP" sz="1100"/>
            <a:t>  ' </a:t>
          </a:r>
          <a:r>
            <a:rPr kumimoji="1" lang="ko-KR" altLang="en-US" sz="1100"/>
            <a:t>결과표시영역</a:t>
          </a:r>
          <a:r>
            <a:rPr kumimoji="1" lang="ja-JP" altLang="ja-JP" sz="1100">
              <a:solidFill>
                <a:schemeClr val="tx1"/>
              </a:solidFill>
              <a:effectLst/>
              <a:latin typeface="+mn-lt"/>
              <a:ea typeface="+mn-ea"/>
              <a:cs typeface="+mn-cs"/>
            </a:rPr>
            <a:t> </a:t>
          </a:r>
          <a:r>
            <a:rPr kumimoji="1" lang="en-US" altLang="ja-JP" sz="1100">
              <a:solidFill>
                <a:schemeClr val="tx1"/>
              </a:solidFill>
              <a:effectLst/>
              <a:latin typeface="+mn-lt"/>
              <a:ea typeface="+mn-ea"/>
              <a:cs typeface="+mn-cs"/>
            </a:rPr>
            <a:t>AC52  &lt;- </a:t>
          </a:r>
          <a:r>
            <a:rPr kumimoji="1" lang="ko-KR" altLang="en-US" sz="1100">
              <a:solidFill>
                <a:schemeClr val="tx1"/>
              </a:solidFill>
              <a:effectLst/>
              <a:latin typeface="+mn-lt"/>
              <a:ea typeface="+mn-ea"/>
              <a:cs typeface="+mn-cs"/>
            </a:rPr>
            <a:t>제어값</a:t>
          </a:r>
          <a:r>
            <a:rPr kumimoji="1" lang="ja-JP" altLang="en-US" sz="1100"/>
            <a:t> </a:t>
          </a:r>
          <a:r>
            <a:rPr kumimoji="1" lang="en-US" altLang="ja-JP" sz="1100"/>
            <a:t>L59-AF59</a:t>
          </a:r>
        </a:p>
        <a:p>
          <a:r>
            <a:rPr kumimoji="1" lang="en-US" altLang="ja-JP" sz="1100"/>
            <a:t>End Sub</a:t>
          </a:r>
          <a:endParaRPr kumimoji="1" lang="ja-JP" altLang="en-US" sz="1100"/>
        </a:p>
      </xdr:txBody>
    </xdr:sp>
    <xdr:clientData/>
  </xdr:oneCellAnchor>
  <mc:AlternateContent xmlns:mc="http://schemas.openxmlformats.org/markup-compatibility/2006">
    <mc:Choice xmlns:a14="http://schemas.microsoft.com/office/drawing/2010/main" Requires="a14">
      <xdr:twoCellAnchor>
        <xdr:from>
          <xdr:col>16</xdr:col>
          <xdr:colOff>213360</xdr:colOff>
          <xdr:row>46</xdr:row>
          <xdr:rowOff>144780</xdr:rowOff>
        </xdr:from>
        <xdr:to>
          <xdr:col>21</xdr:col>
          <xdr:colOff>198120</xdr:colOff>
          <xdr:row>48</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7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실행</a:t>
              </a:r>
            </a:p>
          </xdr:txBody>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0.7977</cdr:x>
      <cdr:y>0.07255</cdr:y>
    </cdr:from>
    <cdr:to>
      <cdr:x>0.95133</cdr:x>
      <cdr:y>0.24065</cdr:y>
    </cdr:to>
    <cdr:sp macro="" textlink="">
      <cdr:nvSpPr>
        <cdr:cNvPr id="2" name="テキスト ボックス 5"/>
        <cdr:cNvSpPr txBox="1"/>
      </cdr:nvSpPr>
      <cdr:spPr>
        <a:xfrm xmlns:a="http://schemas.openxmlformats.org/drawingml/2006/main">
          <a:off x="2423792" y="145118"/>
          <a:ext cx="466794" cy="33624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ko-KR" altLang="en-US" sz="1100"/>
            <a:t>습도</a:t>
          </a:r>
          <a:endParaRPr kumimoji="1" lang="ja-JP" altLang="en-US" sz="1100"/>
        </a:p>
      </cdr:txBody>
    </cdr:sp>
  </cdr:relSizeAnchor>
</c:userShapes>
</file>

<file path=xl/drawings/drawing3.xml><?xml version="1.0" encoding="utf-8"?>
<c:userShapes xmlns:c="http://schemas.openxmlformats.org/drawingml/2006/chart">
  <cdr:relSizeAnchor xmlns:cdr="http://schemas.openxmlformats.org/drawingml/2006/chartDrawing">
    <cdr:from>
      <cdr:x>0.8885</cdr:x>
      <cdr:y>0.04955</cdr:y>
    </cdr:from>
    <cdr:to>
      <cdr:x>0.97814</cdr:x>
      <cdr:y>0.27052</cdr:y>
    </cdr:to>
    <cdr:sp macro="" textlink="">
      <cdr:nvSpPr>
        <cdr:cNvPr id="2" name="テキスト ボックス 23"/>
        <cdr:cNvSpPr txBox="1"/>
      </cdr:nvSpPr>
      <cdr:spPr>
        <a:xfrm xmlns:a="http://schemas.openxmlformats.org/drawingml/2006/main">
          <a:off x="3698324" y="69850"/>
          <a:ext cx="373115" cy="31149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400"/>
            <a:t>R2</a:t>
          </a:r>
          <a:endParaRPr kumimoji="1" lang="ja-JP" altLang="en-US" sz="1400"/>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76200</xdr:colOff>
          <xdr:row>2</xdr:row>
          <xdr:rowOff>7620</xdr:rowOff>
        </xdr:from>
        <xdr:to>
          <xdr:col>19</xdr:col>
          <xdr:colOff>38100</xdr:colOff>
          <xdr:row>3</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00"/>
                  </a:solidFill>
                  <a:latin typeface="맑은 고딕"/>
                  <a:ea typeface="맑은 고딕"/>
                </a:rPr>
                <a:t>진단</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2</xdr:row>
          <xdr:rowOff>22860</xdr:rowOff>
        </xdr:from>
        <xdr:to>
          <xdr:col>9</xdr:col>
          <xdr:colOff>38100</xdr:colOff>
          <xdr:row>3</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000" b="1" i="0" u="none" strike="noStrike" baseline="0">
                  <a:solidFill>
                    <a:srgbClr val="000000"/>
                  </a:solidFill>
                  <a:latin typeface="맑은 고딕"/>
                  <a:ea typeface="맑은 고딕"/>
                </a:rPr>
                <a:t>초기화</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47626</xdr:colOff>
      <xdr:row>93</xdr:row>
      <xdr:rowOff>104774</xdr:rowOff>
    </xdr:from>
    <xdr:to>
      <xdr:col>30</xdr:col>
      <xdr:colOff>200026</xdr:colOff>
      <xdr:row>110</xdr:row>
      <xdr:rowOff>95249</xdr:rowOff>
    </xdr:to>
    <xdr:graphicFrame macro="">
      <xdr:nvGraphicFramePr>
        <xdr:cNvPr id="2" name="グラフ 3">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106680</xdr:colOff>
          <xdr:row>3</xdr:row>
          <xdr:rowOff>22860</xdr:rowOff>
        </xdr:from>
        <xdr:to>
          <xdr:col>3</xdr:col>
          <xdr:colOff>106680</xdr:colOff>
          <xdr:row>4</xdr:row>
          <xdr:rowOff>114300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마스크 설정</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11</xdr:row>
          <xdr:rowOff>83820</xdr:rowOff>
        </xdr:from>
        <xdr:to>
          <xdr:col>3</xdr:col>
          <xdr:colOff>22860</xdr:colOff>
          <xdr:row>12</xdr:row>
          <xdr:rowOff>160020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초기 집단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11</xdr:row>
          <xdr:rowOff>83820</xdr:rowOff>
        </xdr:from>
        <xdr:to>
          <xdr:col>8</xdr:col>
          <xdr:colOff>38100</xdr:colOff>
          <xdr:row>12</xdr:row>
          <xdr:rowOff>190500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적합도 평가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11</xdr:row>
          <xdr:rowOff>83820</xdr:rowOff>
        </xdr:from>
        <xdr:to>
          <xdr:col>12</xdr:col>
          <xdr:colOff>152400</xdr:colOff>
          <xdr:row>12</xdr:row>
          <xdr:rowOff>190500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교차연산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11</xdr:row>
          <xdr:rowOff>99060</xdr:rowOff>
        </xdr:from>
        <xdr:to>
          <xdr:col>17</xdr:col>
          <xdr:colOff>114300</xdr:colOff>
          <xdr:row>12</xdr:row>
          <xdr:rowOff>198120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900-000005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돌연변이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114300</xdr:colOff>
          <xdr:row>71</xdr:row>
          <xdr:rowOff>152400</xdr:rowOff>
        </xdr:from>
        <xdr:to>
          <xdr:col>20</xdr:col>
          <xdr:colOff>114300</xdr:colOff>
          <xdr:row>73</xdr:row>
          <xdr:rowOff>83820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FF"/>
                  </a:solidFill>
                  <a:latin typeface="맑은 고딕"/>
                  <a:ea typeface="맑은 고딕"/>
                </a:rPr>
                <a:t>GA 실행</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51064;&#53552;&#45367;&#44053;&#51032;\AI-excell\&#52293;\Ex3_&#54140;&#51648;%20&#52628;&#4720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50976;&#51204;&#50508;&#44256;&#47532;&#516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zzy 추론"/>
      <sheetName val="Sheet1"/>
      <sheetName val="Ex3_퍼지 추론"/>
    </sheetNames>
    <sheetDataSet>
      <sheetData sheetId="0">
        <row r="59">
          <cell r="L59">
            <v>-10</v>
          </cell>
          <cell r="M59">
            <v>-9</v>
          </cell>
          <cell r="N59">
            <v>-8</v>
          </cell>
          <cell r="O59">
            <v>-7</v>
          </cell>
          <cell r="P59">
            <v>-6</v>
          </cell>
          <cell r="Q59">
            <v>-5</v>
          </cell>
          <cell r="R59">
            <v>-4</v>
          </cell>
          <cell r="S59">
            <v>-3</v>
          </cell>
          <cell r="T59">
            <v>-2</v>
          </cell>
          <cell r="U59">
            <v>-1</v>
          </cell>
          <cell r="V59">
            <v>0</v>
          </cell>
          <cell r="W59">
            <v>1</v>
          </cell>
          <cell r="X59">
            <v>2</v>
          </cell>
          <cell r="Y59">
            <v>3</v>
          </cell>
          <cell r="Z59">
            <v>4</v>
          </cell>
          <cell r="AA59">
            <v>5</v>
          </cell>
          <cell r="AB59">
            <v>6</v>
          </cell>
          <cell r="AC59">
            <v>7</v>
          </cell>
          <cell r="AD59">
            <v>8</v>
          </cell>
          <cell r="AE59">
            <v>9</v>
          </cell>
          <cell r="AF59">
            <v>10</v>
          </cell>
        </row>
        <row r="60">
          <cell r="J60" t="str">
            <v>약냉</v>
          </cell>
          <cell r="L60">
            <v>0</v>
          </cell>
          <cell r="M60">
            <v>0.2</v>
          </cell>
          <cell r="N60">
            <v>0.3</v>
          </cell>
          <cell r="O60">
            <v>0.3</v>
          </cell>
          <cell r="P60">
            <v>0.3</v>
          </cell>
          <cell r="Q60">
            <v>0.3</v>
          </cell>
          <cell r="R60">
            <v>0.3</v>
          </cell>
          <cell r="S60">
            <v>0.3</v>
          </cell>
          <cell r="T60">
            <v>0.3</v>
          </cell>
          <cell r="U60">
            <v>0.3</v>
          </cell>
          <cell r="V60">
            <v>0.2</v>
          </cell>
          <cell r="W60">
            <v>0</v>
          </cell>
          <cell r="X60">
            <v>0</v>
          </cell>
          <cell r="Y60">
            <v>0</v>
          </cell>
          <cell r="Z60">
            <v>0</v>
          </cell>
          <cell r="AA60">
            <v>0</v>
          </cell>
          <cell r="AB60">
            <v>0</v>
          </cell>
          <cell r="AC60">
            <v>0</v>
          </cell>
          <cell r="AD60">
            <v>0</v>
          </cell>
          <cell r="AE60">
            <v>0</v>
          </cell>
          <cell r="AF60">
            <v>0</v>
          </cell>
        </row>
        <row r="61">
          <cell r="J61" t="str">
            <v>강냉</v>
          </cell>
          <cell r="L61">
            <v>0.3</v>
          </cell>
          <cell r="M61">
            <v>0.3</v>
          </cell>
          <cell r="N61">
            <v>0.3</v>
          </cell>
          <cell r="O61">
            <v>0.3</v>
          </cell>
          <cell r="P61">
            <v>0.3</v>
          </cell>
          <cell r="Q61">
            <v>0.3</v>
          </cell>
          <cell r="R61">
            <v>0.2</v>
          </cell>
          <cell r="S61">
            <v>0</v>
          </cell>
          <cell r="T61">
            <v>0</v>
          </cell>
          <cell r="U61">
            <v>0</v>
          </cell>
          <cell r="V61">
            <v>0</v>
          </cell>
          <cell r="W61">
            <v>0</v>
          </cell>
          <cell r="X61">
            <v>0</v>
          </cell>
          <cell r="Y61">
            <v>0</v>
          </cell>
          <cell r="Z61">
            <v>0</v>
          </cell>
          <cell r="AA61">
            <v>0</v>
          </cell>
          <cell r="AB61">
            <v>0</v>
          </cell>
          <cell r="AC61">
            <v>0</v>
          </cell>
          <cell r="AD61">
            <v>0</v>
          </cell>
          <cell r="AE61">
            <v>0</v>
          </cell>
          <cell r="AF61">
            <v>0</v>
          </cell>
        </row>
        <row r="62">
          <cell r="J62" t="str">
            <v>약냉</v>
          </cell>
          <cell r="L62">
            <v>0</v>
          </cell>
          <cell r="M62">
            <v>0.2</v>
          </cell>
          <cell r="N62">
            <v>0.4</v>
          </cell>
          <cell r="O62">
            <v>0.5</v>
          </cell>
          <cell r="P62">
            <v>0.5</v>
          </cell>
          <cell r="Q62">
            <v>0.5</v>
          </cell>
          <cell r="R62">
            <v>0.5</v>
          </cell>
          <cell r="S62">
            <v>0.5</v>
          </cell>
          <cell r="T62">
            <v>0.5</v>
          </cell>
          <cell r="U62">
            <v>0.4</v>
          </cell>
          <cell r="V62">
            <v>0.2</v>
          </cell>
          <cell r="W62">
            <v>0</v>
          </cell>
          <cell r="X62">
            <v>0</v>
          </cell>
          <cell r="Y62">
            <v>0</v>
          </cell>
          <cell r="Z62">
            <v>0</v>
          </cell>
          <cell r="AA62">
            <v>0</v>
          </cell>
          <cell r="AB62">
            <v>0</v>
          </cell>
          <cell r="AC62">
            <v>0</v>
          </cell>
          <cell r="AD62">
            <v>0</v>
          </cell>
          <cell r="AE62">
            <v>0</v>
          </cell>
          <cell r="AF62">
            <v>0</v>
          </cell>
        </row>
        <row r="63">
          <cell r="J63" t="str">
            <v>약난</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row>
        <row r="64">
          <cell r="J64" t="str">
            <v>약난</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row>
        <row r="65">
          <cell r="J65" t="str">
            <v>강난</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row>
        <row r="66">
          <cell r="J66" t="str">
            <v>MAX</v>
          </cell>
          <cell r="L66">
            <v>0.3</v>
          </cell>
          <cell r="M66">
            <v>0.3</v>
          </cell>
          <cell r="N66">
            <v>0.4</v>
          </cell>
          <cell r="O66">
            <v>0.5</v>
          </cell>
          <cell r="P66">
            <v>0.5</v>
          </cell>
          <cell r="Q66">
            <v>0.5</v>
          </cell>
          <cell r="R66">
            <v>0.5</v>
          </cell>
          <cell r="S66">
            <v>0.5</v>
          </cell>
          <cell r="T66">
            <v>0.5</v>
          </cell>
          <cell r="U66">
            <v>0.4</v>
          </cell>
          <cell r="V66">
            <v>0.2</v>
          </cell>
          <cell r="W66">
            <v>0</v>
          </cell>
          <cell r="X66">
            <v>0</v>
          </cell>
          <cell r="Y66">
            <v>0</v>
          </cell>
          <cell r="Z66">
            <v>0</v>
          </cell>
          <cell r="AA66">
            <v>0</v>
          </cell>
          <cell r="AB66">
            <v>0</v>
          </cell>
          <cell r="AC66">
            <v>0</v>
          </cell>
          <cell r="AD66">
            <v>0</v>
          </cell>
          <cell r="AE66">
            <v>0</v>
          </cell>
          <cell r="AF66">
            <v>0</v>
          </cell>
        </row>
      </sheetData>
      <sheetData sheetId="1">
        <row r="5">
          <cell r="B5">
            <v>10</v>
          </cell>
          <cell r="C5">
            <v>11</v>
          </cell>
          <cell r="D5">
            <v>12</v>
          </cell>
          <cell r="E5">
            <v>13</v>
          </cell>
          <cell r="F5">
            <v>14</v>
          </cell>
          <cell r="G5">
            <v>15</v>
          </cell>
          <cell r="H5">
            <v>16</v>
          </cell>
          <cell r="I5">
            <v>17</v>
          </cell>
          <cell r="J5">
            <v>18</v>
          </cell>
          <cell r="K5">
            <v>19</v>
          </cell>
          <cell r="L5">
            <v>20</v>
          </cell>
          <cell r="M5">
            <v>21</v>
          </cell>
          <cell r="N5">
            <v>22</v>
          </cell>
          <cell r="O5">
            <v>23</v>
          </cell>
          <cell r="P5">
            <v>24</v>
          </cell>
          <cell r="Q5">
            <v>25</v>
          </cell>
          <cell r="R5">
            <v>26</v>
          </cell>
          <cell r="S5">
            <v>27</v>
          </cell>
          <cell r="T5">
            <v>28</v>
          </cell>
          <cell r="U5">
            <v>29</v>
          </cell>
          <cell r="V5">
            <v>30</v>
          </cell>
          <cell r="W5">
            <v>31</v>
          </cell>
          <cell r="X5">
            <v>32</v>
          </cell>
          <cell r="Y5">
            <v>33</v>
          </cell>
          <cell r="Z5">
            <v>34</v>
          </cell>
          <cell r="AA5">
            <v>35</v>
          </cell>
        </row>
        <row r="6">
          <cell r="A6" t="str">
            <v>높다</v>
          </cell>
          <cell r="B6">
            <v>0</v>
          </cell>
          <cell r="C6">
            <v>0</v>
          </cell>
          <cell r="D6">
            <v>0</v>
          </cell>
          <cell r="E6">
            <v>0</v>
          </cell>
          <cell r="F6">
            <v>0</v>
          </cell>
          <cell r="G6">
            <v>0</v>
          </cell>
          <cell r="H6">
            <v>0</v>
          </cell>
          <cell r="I6">
            <v>0</v>
          </cell>
          <cell r="J6">
            <v>0</v>
          </cell>
          <cell r="K6">
            <v>0</v>
          </cell>
          <cell r="L6">
            <v>0</v>
          </cell>
          <cell r="M6">
            <v>0.1</v>
          </cell>
          <cell r="N6">
            <v>0.2</v>
          </cell>
          <cell r="O6">
            <v>0.3</v>
          </cell>
          <cell r="P6">
            <v>0.4</v>
          </cell>
          <cell r="Q6">
            <v>0.5</v>
          </cell>
          <cell r="R6">
            <v>0.6</v>
          </cell>
          <cell r="S6">
            <v>0.7</v>
          </cell>
          <cell r="T6">
            <v>0.8</v>
          </cell>
          <cell r="U6">
            <v>0.9</v>
          </cell>
          <cell r="V6">
            <v>1</v>
          </cell>
          <cell r="W6">
            <v>1</v>
          </cell>
          <cell r="X6">
            <v>1</v>
          </cell>
          <cell r="Y6">
            <v>1</v>
          </cell>
          <cell r="Z6">
            <v>1</v>
          </cell>
          <cell r="AA6">
            <v>1</v>
          </cell>
        </row>
        <row r="7">
          <cell r="A7" t="str">
            <v>낮다</v>
          </cell>
          <cell r="B7">
            <v>1</v>
          </cell>
          <cell r="C7">
            <v>1</v>
          </cell>
          <cell r="D7">
            <v>1</v>
          </cell>
          <cell r="E7">
            <v>1</v>
          </cell>
          <cell r="F7">
            <v>1</v>
          </cell>
          <cell r="G7">
            <v>1</v>
          </cell>
          <cell r="H7">
            <v>0.9</v>
          </cell>
          <cell r="I7">
            <v>0.8</v>
          </cell>
          <cell r="J7">
            <v>0.7</v>
          </cell>
          <cell r="K7">
            <v>0.6</v>
          </cell>
          <cell r="L7">
            <v>0.5</v>
          </cell>
          <cell r="M7">
            <v>0.4</v>
          </cell>
          <cell r="N7">
            <v>0.3</v>
          </cell>
          <cell r="O7">
            <v>0.2</v>
          </cell>
          <cell r="P7">
            <v>0.1</v>
          </cell>
          <cell r="Q7">
            <v>0</v>
          </cell>
          <cell r="R7">
            <v>0</v>
          </cell>
          <cell r="S7">
            <v>0</v>
          </cell>
          <cell r="T7">
            <v>0</v>
          </cell>
          <cell r="U7">
            <v>0</v>
          </cell>
          <cell r="V7">
            <v>0</v>
          </cell>
          <cell r="W7">
            <v>0</v>
          </cell>
          <cell r="X7">
            <v>0</v>
          </cell>
          <cell r="Y7">
            <v>0</v>
          </cell>
          <cell r="Z7">
            <v>0</v>
          </cell>
          <cell r="AA7">
            <v>0</v>
          </cell>
        </row>
        <row r="10">
          <cell r="B10">
            <v>0</v>
          </cell>
          <cell r="C10">
            <v>5</v>
          </cell>
          <cell r="D10">
            <v>10</v>
          </cell>
          <cell r="E10">
            <v>15</v>
          </cell>
          <cell r="F10">
            <v>20</v>
          </cell>
          <cell r="G10">
            <v>25</v>
          </cell>
          <cell r="H10">
            <v>30</v>
          </cell>
          <cell r="I10">
            <v>35</v>
          </cell>
          <cell r="J10">
            <v>40</v>
          </cell>
          <cell r="K10">
            <v>45</v>
          </cell>
          <cell r="L10">
            <v>50</v>
          </cell>
          <cell r="M10">
            <v>55</v>
          </cell>
          <cell r="N10">
            <v>60</v>
          </cell>
          <cell r="O10">
            <v>65</v>
          </cell>
          <cell r="P10">
            <v>70</v>
          </cell>
          <cell r="Q10">
            <v>75</v>
          </cell>
          <cell r="R10">
            <v>80</v>
          </cell>
          <cell r="S10">
            <v>85</v>
          </cell>
          <cell r="T10">
            <v>90</v>
          </cell>
          <cell r="U10">
            <v>95</v>
          </cell>
          <cell r="V10">
            <v>100</v>
          </cell>
        </row>
        <row r="11">
          <cell r="A11" t="str">
            <v>높다</v>
          </cell>
          <cell r="B11">
            <v>0</v>
          </cell>
          <cell r="C11">
            <v>0</v>
          </cell>
          <cell r="D11">
            <v>0</v>
          </cell>
          <cell r="E11">
            <v>0</v>
          </cell>
          <cell r="F11">
            <v>0</v>
          </cell>
          <cell r="G11">
            <v>0</v>
          </cell>
          <cell r="H11">
            <v>0</v>
          </cell>
          <cell r="I11">
            <v>0</v>
          </cell>
          <cell r="J11">
            <v>0.1</v>
          </cell>
          <cell r="K11">
            <v>0.2</v>
          </cell>
          <cell r="L11">
            <v>0.3</v>
          </cell>
          <cell r="M11">
            <v>0.4</v>
          </cell>
          <cell r="N11">
            <v>0.5</v>
          </cell>
          <cell r="O11">
            <v>0.6</v>
          </cell>
          <cell r="P11">
            <v>0.7</v>
          </cell>
          <cell r="Q11">
            <v>0.8</v>
          </cell>
          <cell r="R11">
            <v>0.9</v>
          </cell>
          <cell r="S11">
            <v>1</v>
          </cell>
          <cell r="T11">
            <v>1</v>
          </cell>
          <cell r="U11">
            <v>1</v>
          </cell>
          <cell r="V11">
            <v>1</v>
          </cell>
        </row>
        <row r="12">
          <cell r="A12" t="str">
            <v>낮다</v>
          </cell>
          <cell r="B12">
            <v>1</v>
          </cell>
          <cell r="C12">
            <v>1</v>
          </cell>
          <cell r="D12">
            <v>1</v>
          </cell>
          <cell r="E12">
            <v>1</v>
          </cell>
          <cell r="F12">
            <v>1</v>
          </cell>
          <cell r="G12">
            <v>1</v>
          </cell>
          <cell r="H12">
            <v>0.9</v>
          </cell>
          <cell r="I12">
            <v>0.8</v>
          </cell>
          <cell r="J12">
            <v>0.7</v>
          </cell>
          <cell r="K12">
            <v>0.6</v>
          </cell>
          <cell r="L12">
            <v>0.5</v>
          </cell>
          <cell r="M12">
            <v>0.4</v>
          </cell>
          <cell r="N12">
            <v>0.3</v>
          </cell>
          <cell r="O12">
            <v>0.2</v>
          </cell>
          <cell r="P12">
            <v>0.1</v>
          </cell>
          <cell r="Q12">
            <v>0</v>
          </cell>
          <cell r="R12">
            <v>0</v>
          </cell>
          <cell r="S12">
            <v>0</v>
          </cell>
          <cell r="T12">
            <v>0</v>
          </cell>
          <cell r="U12">
            <v>0</v>
          </cell>
          <cell r="V12">
            <v>0</v>
          </cell>
        </row>
        <row r="15">
          <cell r="B15">
            <v>-8</v>
          </cell>
          <cell r="C15">
            <v>-7</v>
          </cell>
          <cell r="D15">
            <v>-6</v>
          </cell>
          <cell r="E15">
            <v>-5</v>
          </cell>
          <cell r="F15">
            <v>-4</v>
          </cell>
          <cell r="G15">
            <v>-3</v>
          </cell>
          <cell r="H15">
            <v>-2</v>
          </cell>
          <cell r="I15">
            <v>-1</v>
          </cell>
          <cell r="J15">
            <v>0</v>
          </cell>
          <cell r="K15">
            <v>1</v>
          </cell>
          <cell r="L15">
            <v>2</v>
          </cell>
          <cell r="M15">
            <v>3</v>
          </cell>
          <cell r="N15">
            <v>4</v>
          </cell>
          <cell r="O15">
            <v>5</v>
          </cell>
          <cell r="P15">
            <v>6</v>
          </cell>
          <cell r="Q15">
            <v>7</v>
          </cell>
          <cell r="R15">
            <v>8</v>
          </cell>
        </row>
        <row r="16">
          <cell r="A16" t="str">
            <v>강냉</v>
          </cell>
          <cell r="B16">
            <v>1</v>
          </cell>
          <cell r="C16">
            <v>1</v>
          </cell>
          <cell r="D16">
            <v>1</v>
          </cell>
          <cell r="E16">
            <v>0.8</v>
          </cell>
          <cell r="F16">
            <v>0.6</v>
          </cell>
          <cell r="G16">
            <v>0.4</v>
          </cell>
          <cell r="H16">
            <v>0.2</v>
          </cell>
          <cell r="I16">
            <v>0</v>
          </cell>
          <cell r="J16">
            <v>0</v>
          </cell>
          <cell r="K16">
            <v>0</v>
          </cell>
          <cell r="L16">
            <v>0</v>
          </cell>
          <cell r="M16">
            <v>0</v>
          </cell>
          <cell r="N16">
            <v>0</v>
          </cell>
          <cell r="O16">
            <v>0</v>
          </cell>
          <cell r="P16">
            <v>0</v>
          </cell>
          <cell r="Q16">
            <v>0</v>
          </cell>
          <cell r="R16">
            <v>0</v>
          </cell>
        </row>
        <row r="17">
          <cell r="A17" t="str">
            <v>약냉</v>
          </cell>
          <cell r="B17">
            <v>0</v>
          </cell>
          <cell r="C17">
            <v>0.2</v>
          </cell>
          <cell r="D17">
            <v>0.4</v>
          </cell>
          <cell r="E17">
            <v>0.6</v>
          </cell>
          <cell r="F17">
            <v>0.8</v>
          </cell>
          <cell r="G17">
            <v>1</v>
          </cell>
          <cell r="H17">
            <v>1</v>
          </cell>
          <cell r="I17">
            <v>0.8</v>
          </cell>
          <cell r="J17">
            <v>0.6</v>
          </cell>
          <cell r="K17">
            <v>0.4</v>
          </cell>
          <cell r="L17">
            <v>0.2</v>
          </cell>
          <cell r="M17">
            <v>0</v>
          </cell>
          <cell r="N17">
            <v>0</v>
          </cell>
          <cell r="O17">
            <v>0</v>
          </cell>
          <cell r="P17">
            <v>0</v>
          </cell>
          <cell r="Q17">
            <v>0</v>
          </cell>
          <cell r="R17">
            <v>0</v>
          </cell>
        </row>
        <row r="18">
          <cell r="A18" t="str">
            <v>약난</v>
          </cell>
          <cell r="B18">
            <v>0</v>
          </cell>
          <cell r="C18">
            <v>0</v>
          </cell>
          <cell r="D18">
            <v>0</v>
          </cell>
          <cell r="E18">
            <v>0</v>
          </cell>
          <cell r="F18">
            <v>0</v>
          </cell>
          <cell r="G18">
            <v>0</v>
          </cell>
          <cell r="H18">
            <v>0.2</v>
          </cell>
          <cell r="I18">
            <v>0.4</v>
          </cell>
          <cell r="J18">
            <v>0.6</v>
          </cell>
          <cell r="K18">
            <v>0.8</v>
          </cell>
          <cell r="L18">
            <v>1</v>
          </cell>
          <cell r="M18">
            <v>1</v>
          </cell>
          <cell r="N18">
            <v>0.8</v>
          </cell>
          <cell r="O18">
            <v>0.6</v>
          </cell>
          <cell r="P18">
            <v>0.4</v>
          </cell>
          <cell r="Q18">
            <v>0.2</v>
          </cell>
          <cell r="R18">
            <v>0</v>
          </cell>
        </row>
        <row r="19">
          <cell r="A19" t="str">
            <v>강난</v>
          </cell>
          <cell r="B19">
            <v>0</v>
          </cell>
          <cell r="C19">
            <v>0</v>
          </cell>
          <cell r="D19">
            <v>0</v>
          </cell>
          <cell r="E19">
            <v>0</v>
          </cell>
          <cell r="F19">
            <v>0</v>
          </cell>
          <cell r="G19">
            <v>0</v>
          </cell>
          <cell r="H19">
            <v>0</v>
          </cell>
          <cell r="I19">
            <v>0</v>
          </cell>
          <cell r="J19">
            <v>0</v>
          </cell>
          <cell r="K19">
            <v>0</v>
          </cell>
          <cell r="L19">
            <v>0.2</v>
          </cell>
          <cell r="M19">
            <v>0.4</v>
          </cell>
          <cell r="N19">
            <v>0.6</v>
          </cell>
          <cell r="O19">
            <v>0.8</v>
          </cell>
          <cell r="P19">
            <v>1</v>
          </cell>
          <cell r="Q19">
            <v>1</v>
          </cell>
          <cell r="R19">
            <v>1</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재산분배"/>
      <sheetName val="유전알고리즘"/>
    </sheetNames>
    <definedNames>
      <definedName name="Execute"/>
    </definedNames>
    <sheetDataSet>
      <sheetData sheetId="0">
        <row r="89">
          <cell r="B89">
            <v>3.3333333333333335</v>
          </cell>
          <cell r="C89">
            <v>6.666666666666667</v>
          </cell>
          <cell r="D89">
            <v>10</v>
          </cell>
          <cell r="E89">
            <v>13.333333333333334</v>
          </cell>
          <cell r="F89">
            <v>16.666666666666668</v>
          </cell>
          <cell r="G89">
            <v>20</v>
          </cell>
          <cell r="H89">
            <v>23.333333333333336</v>
          </cell>
          <cell r="I89">
            <v>26.666666666666668</v>
          </cell>
          <cell r="J89">
            <v>30</v>
          </cell>
          <cell r="K89">
            <v>33.333333333333336</v>
          </cell>
          <cell r="L89">
            <v>36.666666666666671</v>
          </cell>
          <cell r="M89">
            <v>40</v>
          </cell>
          <cell r="N89">
            <v>43.333333333333336</v>
          </cell>
          <cell r="O89">
            <v>46.666666666666671</v>
          </cell>
          <cell r="P89">
            <v>50</v>
          </cell>
          <cell r="Q89">
            <v>53.333333333333336</v>
          </cell>
          <cell r="R89">
            <v>56.666666666666671</v>
          </cell>
          <cell r="S89">
            <v>60</v>
          </cell>
          <cell r="T89">
            <v>63.333333333333336</v>
          </cell>
          <cell r="U89">
            <v>66.666666666666671</v>
          </cell>
          <cell r="V89">
            <v>70</v>
          </cell>
          <cell r="W89">
            <v>73.333333333333343</v>
          </cell>
          <cell r="X89">
            <v>76.666666666666671</v>
          </cell>
          <cell r="Y89">
            <v>80</v>
          </cell>
          <cell r="Z89">
            <v>83.333333333333343</v>
          </cell>
          <cell r="AA89">
            <v>86.666666666666671</v>
          </cell>
          <cell r="AB89">
            <v>90</v>
          </cell>
          <cell r="AC89">
            <v>93.333333333333343</v>
          </cell>
          <cell r="AD89">
            <v>96.666666666666671</v>
          </cell>
          <cell r="AE89">
            <v>100</v>
          </cell>
        </row>
        <row r="90">
          <cell r="A90" t="str">
            <v>적응도 최고</v>
          </cell>
          <cell r="B90">
            <v>44</v>
          </cell>
          <cell r="C90">
            <v>44</v>
          </cell>
          <cell r="D90">
            <v>44</v>
          </cell>
          <cell r="E90">
            <v>44</v>
          </cell>
          <cell r="F90">
            <v>54</v>
          </cell>
        </row>
        <row r="91">
          <cell r="A91" t="str">
            <v>적응도 평균</v>
          </cell>
          <cell r="B91">
            <v>52.5</v>
          </cell>
          <cell r="C91">
            <v>52.5</v>
          </cell>
          <cell r="D91">
            <v>48.75</v>
          </cell>
          <cell r="E91">
            <v>53.25</v>
          </cell>
          <cell r="F91">
            <v>55.75</v>
          </cell>
        </row>
        <row r="92">
          <cell r="A92" t="str">
            <v>ε-line</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row>
      </sheetData>
      <sheetData sheetId="1"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68FF9-854B-4CBE-9EB4-6D7FF894A2E3}">
  <sheetPr codeName="Sheet1"/>
  <dimension ref="A1:C6"/>
  <sheetViews>
    <sheetView workbookViewId="0">
      <selection activeCell="C12" sqref="C12"/>
    </sheetView>
  </sheetViews>
  <sheetFormatPr defaultRowHeight="17.399999999999999" x14ac:dyDescent="0.4"/>
  <sheetData>
    <row r="1" spans="1:3" x14ac:dyDescent="0.4">
      <c r="B1" t="s">
        <v>5</v>
      </c>
      <c r="C1" t="s">
        <v>6</v>
      </c>
    </row>
    <row r="2" spans="1:3" x14ac:dyDescent="0.4">
      <c r="A2" t="s">
        <v>0</v>
      </c>
      <c r="B2">
        <v>1</v>
      </c>
      <c r="C2">
        <v>1</v>
      </c>
    </row>
    <row r="3" spans="1:3" x14ac:dyDescent="0.4">
      <c r="A3" t="s">
        <v>1</v>
      </c>
      <c r="B3">
        <v>0.6</v>
      </c>
      <c r="C3">
        <v>0.6</v>
      </c>
    </row>
    <row r="4" spans="1:3" x14ac:dyDescent="0.4">
      <c r="A4" t="s">
        <v>2</v>
      </c>
      <c r="B4">
        <f>B2*B3+C2*C3</f>
        <v>1.2</v>
      </c>
    </row>
    <row r="5" spans="1:3" x14ac:dyDescent="0.4">
      <c r="A5" t="s">
        <v>3</v>
      </c>
      <c r="B5">
        <v>1</v>
      </c>
    </row>
    <row r="6" spans="1:3" x14ac:dyDescent="0.4">
      <c r="A6" t="s">
        <v>4</v>
      </c>
      <c r="B6">
        <f>IF(B4&gt;=B5,1,0)</f>
        <v>1</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0537-0292-46F7-B98B-8A3A3768F8DF}">
  <sheetPr codeName="Sheet2"/>
  <dimension ref="A1:C6"/>
  <sheetViews>
    <sheetView workbookViewId="0">
      <selection activeCell="B4" sqref="B4"/>
    </sheetView>
  </sheetViews>
  <sheetFormatPr defaultRowHeight="17.399999999999999" x14ac:dyDescent="0.4"/>
  <sheetData>
    <row r="1" spans="1:3" x14ac:dyDescent="0.4">
      <c r="B1" t="s">
        <v>5</v>
      </c>
      <c r="C1" t="s">
        <v>6</v>
      </c>
    </row>
    <row r="2" spans="1:3" x14ac:dyDescent="0.4">
      <c r="A2" t="s">
        <v>0</v>
      </c>
      <c r="B2">
        <v>1</v>
      </c>
      <c r="C2">
        <v>0</v>
      </c>
    </row>
    <row r="3" spans="1:3" x14ac:dyDescent="0.4">
      <c r="A3" t="s">
        <v>1</v>
      </c>
      <c r="B3">
        <v>1.1000000000000001</v>
      </c>
      <c r="C3">
        <v>1.1000000000000001</v>
      </c>
    </row>
    <row r="4" spans="1:3" x14ac:dyDescent="0.4">
      <c r="A4" t="s">
        <v>2</v>
      </c>
      <c r="B4">
        <f>B2*B3+C2*C3</f>
        <v>1.1000000000000001</v>
      </c>
    </row>
    <row r="5" spans="1:3" x14ac:dyDescent="0.4">
      <c r="A5" t="s">
        <v>3</v>
      </c>
      <c r="B5">
        <v>1</v>
      </c>
    </row>
    <row r="6" spans="1:3" x14ac:dyDescent="0.4">
      <c r="A6" t="s">
        <v>4</v>
      </c>
      <c r="B6">
        <f>IF(B4&gt;=B5,1,0)</f>
        <v>1</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BE579-671D-4879-8F72-F96094E4DBD1}">
  <sheetPr codeName="Sheet3"/>
  <dimension ref="A1:C6"/>
  <sheetViews>
    <sheetView workbookViewId="0">
      <selection activeCell="B3" sqref="B3"/>
    </sheetView>
  </sheetViews>
  <sheetFormatPr defaultRowHeight="17.399999999999999" x14ac:dyDescent="0.4"/>
  <sheetData>
    <row r="1" spans="1:3" x14ac:dyDescent="0.4">
      <c r="B1" t="s">
        <v>5</v>
      </c>
      <c r="C1" t="s">
        <v>6</v>
      </c>
    </row>
    <row r="2" spans="1:3" x14ac:dyDescent="0.4">
      <c r="A2" t="s">
        <v>0</v>
      </c>
      <c r="B2">
        <v>1</v>
      </c>
      <c r="C2">
        <v>0</v>
      </c>
    </row>
    <row r="3" spans="1:3" x14ac:dyDescent="0.4">
      <c r="A3" t="s">
        <v>1</v>
      </c>
      <c r="B3">
        <v>-1</v>
      </c>
      <c r="C3">
        <v>1.1000000000000001</v>
      </c>
    </row>
    <row r="4" spans="1:3" x14ac:dyDescent="0.4">
      <c r="A4" t="s">
        <v>2</v>
      </c>
      <c r="B4">
        <f>B2*B3+C2*C3</f>
        <v>-1</v>
      </c>
    </row>
    <row r="5" spans="1:3" x14ac:dyDescent="0.4">
      <c r="A5" t="s">
        <v>3</v>
      </c>
      <c r="B5">
        <v>-0.5</v>
      </c>
    </row>
    <row r="6" spans="1:3" x14ac:dyDescent="0.4">
      <c r="A6" t="s">
        <v>4</v>
      </c>
      <c r="B6">
        <f>IF(B4&gt;=B5,1,0)</f>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6D03C-DE03-48A4-AE88-EE1936B1E0BA}">
  <sheetPr codeName="Sheet4"/>
  <dimension ref="A1:H11"/>
  <sheetViews>
    <sheetView workbookViewId="0">
      <selection activeCell="B11" sqref="B11"/>
    </sheetView>
  </sheetViews>
  <sheetFormatPr defaultRowHeight="17.399999999999999" x14ac:dyDescent="0.4"/>
  <sheetData>
    <row r="1" spans="1:8" x14ac:dyDescent="0.4">
      <c r="A1" s="1"/>
      <c r="B1" s="1" t="s">
        <v>5</v>
      </c>
      <c r="C1" s="1" t="s">
        <v>6</v>
      </c>
      <c r="F1" s="1" t="s">
        <v>5</v>
      </c>
      <c r="G1" s="1" t="s">
        <v>6</v>
      </c>
      <c r="H1" s="1" t="s">
        <v>8</v>
      </c>
    </row>
    <row r="2" spans="1:8" x14ac:dyDescent="0.4">
      <c r="A2" s="1" t="s">
        <v>0</v>
      </c>
      <c r="B2" s="1">
        <f>CHOOSE($E$8,F2,F3,F4,F5)</f>
        <v>1</v>
      </c>
      <c r="C2" s="1">
        <f>CHOOSE($E$8,G2,G3,G4,G5)</f>
        <v>1</v>
      </c>
      <c r="F2" s="1">
        <v>0</v>
      </c>
      <c r="G2" s="1">
        <v>0</v>
      </c>
      <c r="H2" s="1">
        <v>0</v>
      </c>
    </row>
    <row r="3" spans="1:8" x14ac:dyDescent="0.4">
      <c r="A3" s="1" t="s">
        <v>1</v>
      </c>
      <c r="B3" s="1">
        <f ca="1">IF(ISNUMBER(B11),B11,0.1)</f>
        <v>0.4</v>
      </c>
      <c r="C3" s="1">
        <f ca="1">IF(ISNUMBER(C11),C11,0.1)</f>
        <v>0.4</v>
      </c>
      <c r="F3" s="1">
        <v>1</v>
      </c>
      <c r="G3" s="1">
        <v>0</v>
      </c>
      <c r="H3" s="1">
        <v>0</v>
      </c>
    </row>
    <row r="4" spans="1:8" x14ac:dyDescent="0.4">
      <c r="A4" s="1" t="s">
        <v>7</v>
      </c>
      <c r="B4" s="1">
        <f ca="1">B2*B3+C2*C3</f>
        <v>0.8</v>
      </c>
      <c r="C4" s="1"/>
      <c r="F4" s="1">
        <v>0</v>
      </c>
      <c r="G4" s="1">
        <v>1</v>
      </c>
      <c r="H4" s="1">
        <v>0</v>
      </c>
    </row>
    <row r="5" spans="1:8" x14ac:dyDescent="0.4">
      <c r="A5" s="1" t="s">
        <v>3</v>
      </c>
      <c r="B5" s="1">
        <v>0.5</v>
      </c>
      <c r="C5" s="1"/>
      <c r="F5" s="1">
        <v>1</v>
      </c>
      <c r="G5" s="1">
        <v>1</v>
      </c>
      <c r="H5" s="1">
        <v>1</v>
      </c>
    </row>
    <row r="6" spans="1:8" x14ac:dyDescent="0.4">
      <c r="A6" s="1" t="s">
        <v>4</v>
      </c>
      <c r="B6" s="1">
        <f ca="1">IF(B4&gt;=B5,1,0)</f>
        <v>1</v>
      </c>
      <c r="C6" s="1"/>
      <c r="F6" s="1"/>
      <c r="G6" s="1"/>
      <c r="H6" s="1"/>
    </row>
    <row r="8" spans="1:8" x14ac:dyDescent="0.4">
      <c r="A8" s="1" t="s">
        <v>9</v>
      </c>
      <c r="B8" s="1">
        <f>CHOOSE(E8,H2,H3,H4,H5)</f>
        <v>1</v>
      </c>
      <c r="D8" s="1" t="s">
        <v>13</v>
      </c>
      <c r="E8" s="1">
        <v>4</v>
      </c>
    </row>
    <row r="9" spans="1:8" x14ac:dyDescent="0.4">
      <c r="A9" s="1" t="s">
        <v>10</v>
      </c>
      <c r="B9" s="1">
        <f ca="1">B8-B6</f>
        <v>0</v>
      </c>
      <c r="D9" s="1" t="s">
        <v>14</v>
      </c>
      <c r="E9" s="1">
        <v>0.3</v>
      </c>
    </row>
    <row r="10" spans="1:8" x14ac:dyDescent="0.4">
      <c r="A10" s="1" t="s">
        <v>11</v>
      </c>
      <c r="B10" s="1">
        <f ca="1">E9*B9*B2</f>
        <v>0</v>
      </c>
      <c r="C10">
        <f ca="1">E9*B9*C2</f>
        <v>0</v>
      </c>
    </row>
    <row r="11" spans="1:8" x14ac:dyDescent="0.4">
      <c r="A11" s="1" t="s">
        <v>12</v>
      </c>
      <c r="B11" s="1">
        <f ca="1">B3+B10</f>
        <v>0.4</v>
      </c>
      <c r="C11">
        <f ca="1">C3+C10</f>
        <v>0.4</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A6976-FD7D-4BD4-8BCE-4878AB20FE3D}">
  <sheetPr codeName="Sheet5"/>
  <dimension ref="A1:H11"/>
  <sheetViews>
    <sheetView workbookViewId="0">
      <selection sqref="A1:XFD1048576"/>
    </sheetView>
  </sheetViews>
  <sheetFormatPr defaultRowHeight="17.399999999999999" x14ac:dyDescent="0.4"/>
  <sheetData>
    <row r="1" spans="1:8" x14ac:dyDescent="0.4">
      <c r="A1" s="1"/>
      <c r="B1" s="1" t="s">
        <v>5</v>
      </c>
      <c r="C1" s="1" t="s">
        <v>6</v>
      </c>
      <c r="F1" s="1" t="s">
        <v>5</v>
      </c>
      <c r="G1" s="1" t="s">
        <v>6</v>
      </c>
      <c r="H1" s="1" t="s">
        <v>15</v>
      </c>
    </row>
    <row r="2" spans="1:8" x14ac:dyDescent="0.4">
      <c r="A2" s="1" t="s">
        <v>0</v>
      </c>
      <c r="B2" s="1">
        <f>CHOOSE($E$8,F2,F3,F4,F5)</f>
        <v>1</v>
      </c>
      <c r="C2" s="1">
        <f>CHOOSE($E$8,G2,G3,G4,G5)</f>
        <v>1</v>
      </c>
      <c r="F2" s="1">
        <v>0</v>
      </c>
      <c r="G2" s="1">
        <v>0</v>
      </c>
      <c r="H2" s="1">
        <v>0</v>
      </c>
    </row>
    <row r="3" spans="1:8" x14ac:dyDescent="0.4">
      <c r="A3" s="1" t="s">
        <v>1</v>
      </c>
      <c r="B3" s="1">
        <f ca="1">IF(ISNUMBER(B11),B11,0.1)</f>
        <v>1</v>
      </c>
      <c r="C3" s="1">
        <f ca="1">IF(ISNUMBER(C11),C11,0.1)</f>
        <v>1</v>
      </c>
      <c r="F3" s="1">
        <v>1</v>
      </c>
      <c r="G3" s="1">
        <v>0</v>
      </c>
      <c r="H3" s="1">
        <v>1</v>
      </c>
    </row>
    <row r="4" spans="1:8" x14ac:dyDescent="0.4">
      <c r="A4" s="1" t="s">
        <v>7</v>
      </c>
      <c r="B4" s="1">
        <f ca="1">B2*B3+C2*C3</f>
        <v>2</v>
      </c>
      <c r="C4" s="1"/>
      <c r="F4" s="1">
        <v>0</v>
      </c>
      <c r="G4" s="1">
        <v>1</v>
      </c>
      <c r="H4" s="1">
        <v>1</v>
      </c>
    </row>
    <row r="5" spans="1:8" x14ac:dyDescent="0.4">
      <c r="A5" s="1" t="s">
        <v>3</v>
      </c>
      <c r="B5" s="1">
        <v>1</v>
      </c>
      <c r="C5" s="1"/>
      <c r="F5" s="1">
        <v>1</v>
      </c>
      <c r="G5" s="1">
        <v>1</v>
      </c>
      <c r="H5" s="1">
        <v>1</v>
      </c>
    </row>
    <row r="6" spans="1:8" x14ac:dyDescent="0.4">
      <c r="A6" s="1" t="s">
        <v>4</v>
      </c>
      <c r="B6" s="1">
        <f ca="1">IF(B4&gt;=B5,1,0)</f>
        <v>1</v>
      </c>
      <c r="C6" s="1"/>
      <c r="F6" s="1"/>
      <c r="G6" s="1"/>
      <c r="H6" s="1"/>
    </row>
    <row r="8" spans="1:8" x14ac:dyDescent="0.4">
      <c r="A8" s="1" t="s">
        <v>9</v>
      </c>
      <c r="B8" s="1">
        <f>CHOOSE(E8,H2,H3,H4,H5)</f>
        <v>1</v>
      </c>
      <c r="D8" s="1" t="s">
        <v>13</v>
      </c>
      <c r="E8" s="1">
        <v>4</v>
      </c>
    </row>
    <row r="9" spans="1:8" x14ac:dyDescent="0.4">
      <c r="A9" s="1" t="s">
        <v>10</v>
      </c>
      <c r="B9" s="1">
        <f ca="1">B8-B6</f>
        <v>0</v>
      </c>
      <c r="D9" s="1" t="s">
        <v>14</v>
      </c>
      <c r="E9" s="1">
        <v>0.3</v>
      </c>
    </row>
    <row r="10" spans="1:8" x14ac:dyDescent="0.4">
      <c r="A10" s="1" t="s">
        <v>11</v>
      </c>
      <c r="B10" s="1">
        <f ca="1">E9*B9*B2</f>
        <v>0</v>
      </c>
      <c r="C10">
        <f ca="1">E9*B9*C2</f>
        <v>0</v>
      </c>
    </row>
    <row r="11" spans="1:8" x14ac:dyDescent="0.4">
      <c r="A11" s="1" t="s">
        <v>12</v>
      </c>
      <c r="B11" s="1">
        <f ca="1">B3+B10</f>
        <v>1</v>
      </c>
      <c r="C11">
        <f ca="1">C3+C10</f>
        <v>1</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4F5CD-8974-406F-924D-A398BE41F662}">
  <sheetPr codeName="Sheet6"/>
  <dimension ref="A1:H11"/>
  <sheetViews>
    <sheetView workbookViewId="0">
      <selection activeCell="C9" sqref="C9"/>
    </sheetView>
  </sheetViews>
  <sheetFormatPr defaultRowHeight="17.399999999999999" x14ac:dyDescent="0.4"/>
  <sheetData>
    <row r="1" spans="1:8" ht="18" customHeight="1" x14ac:dyDescent="0.4">
      <c r="A1" s="1"/>
      <c r="B1" s="1" t="s">
        <v>5</v>
      </c>
      <c r="C1" s="1" t="s">
        <v>6</v>
      </c>
      <c r="F1" s="1" t="s">
        <v>5</v>
      </c>
      <c r="G1" s="1" t="s">
        <v>6</v>
      </c>
      <c r="H1" s="1" t="s">
        <v>16</v>
      </c>
    </row>
    <row r="2" spans="1:8" x14ac:dyDescent="0.4">
      <c r="A2" s="1" t="s">
        <v>0</v>
      </c>
      <c r="B2" s="1">
        <f>CHOOSE($E$8,F2,F3,F4,F5)</f>
        <v>1</v>
      </c>
      <c r="C2" s="1">
        <f>CHOOSE($E$8,G2,G3,G4,G5)</f>
        <v>1</v>
      </c>
      <c r="D2" s="1"/>
      <c r="E2" s="1"/>
      <c r="F2" s="1">
        <v>0</v>
      </c>
      <c r="G2" s="1">
        <v>0</v>
      </c>
      <c r="H2" s="1">
        <v>0</v>
      </c>
    </row>
    <row r="3" spans="1:8" x14ac:dyDescent="0.4">
      <c r="A3" s="1" t="s">
        <v>1</v>
      </c>
      <c r="B3" s="1">
        <f ca="1">IF(ISNUMBER(B11),B11,0.1)</f>
        <v>0</v>
      </c>
      <c r="C3" s="1">
        <f>IF(ISNUMBER(C11),C11,0.1)</f>
        <v>0.1</v>
      </c>
      <c r="D3" s="1">
        <v>1.1000000000000001</v>
      </c>
      <c r="E3" s="1">
        <v>1.1000000000000001</v>
      </c>
      <c r="F3" s="1">
        <v>1</v>
      </c>
      <c r="G3" s="1">
        <v>0</v>
      </c>
      <c r="H3" s="1">
        <v>1</v>
      </c>
    </row>
    <row r="4" spans="1:8" x14ac:dyDescent="0.4">
      <c r="A4" s="1" t="s">
        <v>7</v>
      </c>
      <c r="B4" s="1">
        <f ca="1">B2*B3+C2*C3</f>
        <v>0.1</v>
      </c>
      <c r="C4" s="1"/>
      <c r="D4" s="1">
        <f>B2*D3+C2*E3</f>
        <v>2.2000000000000002</v>
      </c>
      <c r="E4" s="1"/>
      <c r="F4" s="1">
        <v>0</v>
      </c>
      <c r="G4" s="1">
        <v>1</v>
      </c>
      <c r="H4" s="1">
        <v>1</v>
      </c>
    </row>
    <row r="5" spans="1:8" x14ac:dyDescent="0.4">
      <c r="A5" s="1" t="s">
        <v>3</v>
      </c>
      <c r="B5" s="1">
        <v>1</v>
      </c>
      <c r="C5" s="1"/>
      <c r="D5" s="1">
        <v>1</v>
      </c>
      <c r="E5" s="1"/>
      <c r="F5" s="1">
        <v>1</v>
      </c>
      <c r="G5" s="1">
        <v>1</v>
      </c>
      <c r="H5" s="1">
        <v>0</v>
      </c>
    </row>
    <row r="6" spans="1:8" x14ac:dyDescent="0.4">
      <c r="A6" s="1" t="s">
        <v>4</v>
      </c>
      <c r="B6" s="1">
        <f ca="1">IF(B4&gt;=B5,1,0)</f>
        <v>0</v>
      </c>
      <c r="C6" s="1"/>
      <c r="D6" s="1">
        <f>IF(D4&gt;=D5,1,0)</f>
        <v>1</v>
      </c>
      <c r="E6" s="1"/>
      <c r="F6" s="1"/>
      <c r="G6" s="1"/>
      <c r="H6" s="1"/>
    </row>
    <row r="8" spans="1:8" x14ac:dyDescent="0.4">
      <c r="A8" s="1" t="s">
        <v>1</v>
      </c>
      <c r="B8" s="1">
        <v>-2</v>
      </c>
      <c r="C8" s="1">
        <v>1.1000000000000001</v>
      </c>
      <c r="D8" s="1" t="s">
        <v>13</v>
      </c>
      <c r="E8" s="1">
        <v>4</v>
      </c>
    </row>
    <row r="9" spans="1:8" x14ac:dyDescent="0.4">
      <c r="A9" s="1" t="s">
        <v>7</v>
      </c>
      <c r="B9" s="1">
        <f ca="1">B6*B8+D6*C8</f>
        <v>1.1000000000000001</v>
      </c>
      <c r="D9" s="2"/>
      <c r="E9" s="2"/>
    </row>
    <row r="10" spans="1:8" x14ac:dyDescent="0.4">
      <c r="A10" s="1" t="s">
        <v>3</v>
      </c>
      <c r="B10" s="1">
        <v>1</v>
      </c>
    </row>
    <row r="11" spans="1:8" x14ac:dyDescent="0.4">
      <c r="A11" s="1" t="s">
        <v>4</v>
      </c>
      <c r="B11" s="1">
        <f ca="1">IF(B9&gt;=B10,1,0)</f>
        <v>1</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BEE39-2011-43C9-AFFF-DECC15AF610E}">
  <sheetPr codeName="Sheet7"/>
  <dimension ref="A1:H22"/>
  <sheetViews>
    <sheetView workbookViewId="0">
      <selection activeCell="E16" sqref="E16"/>
    </sheetView>
  </sheetViews>
  <sheetFormatPr defaultRowHeight="17.399999999999999" x14ac:dyDescent="0.4"/>
  <cols>
    <col min="7" max="7" width="16.19921875" bestFit="1" customWidth="1"/>
  </cols>
  <sheetData>
    <row r="1" spans="1:8" x14ac:dyDescent="0.4">
      <c r="A1" s="1"/>
      <c r="B1" s="58" t="s">
        <v>17</v>
      </c>
      <c r="C1" s="59"/>
      <c r="D1" s="60" t="s">
        <v>18</v>
      </c>
      <c r="E1" s="61"/>
      <c r="G1" s="1" t="s">
        <v>19</v>
      </c>
      <c r="H1" s="1">
        <f ca="1">B5*(1-B5)*H3*B8</f>
        <v>3.332721159885592E-7</v>
      </c>
    </row>
    <row r="2" spans="1:8" x14ac:dyDescent="0.4">
      <c r="A2" s="1" t="s">
        <v>0</v>
      </c>
      <c r="B2" s="1">
        <f>CHOOSE(E15,A19,A20,A21,A22)</f>
        <v>1</v>
      </c>
      <c r="C2" s="1">
        <f>CHOOSE(E15,B19,B20,B21,B22)</f>
        <v>1</v>
      </c>
      <c r="D2" s="1"/>
      <c r="E2" s="1"/>
      <c r="G2" s="1" t="s">
        <v>20</v>
      </c>
      <c r="H2" s="1">
        <f ca="1">D5*(1-D5)*H3*D8</f>
        <v>-1.1572528599427496E-7</v>
      </c>
    </row>
    <row r="3" spans="1:8" x14ac:dyDescent="0.4">
      <c r="A3" s="1" t="s">
        <v>21</v>
      </c>
      <c r="B3" s="1">
        <f ca="1">IF(ISNUMBER(H13),H13,0.6)</f>
        <v>0.23980604180422077</v>
      </c>
      <c r="C3" s="1">
        <f ca="1">IF(ISNUMBER(H14),H14,0.5)</f>
        <v>3.128618523408595</v>
      </c>
      <c r="D3" s="1">
        <f ca="1">IF(ISNUMBER(H15),H15,0.8)</f>
        <v>0.16255566977942432</v>
      </c>
      <c r="E3" s="1">
        <f ca="1">IF(ISNUMBER(H16),H16,0.9)</f>
        <v>-1.2790740092017565</v>
      </c>
      <c r="G3" s="1" t="s">
        <v>22</v>
      </c>
      <c r="H3" s="1">
        <f ca="1">C10*(1-C10)*B16</f>
        <v>-2.1202849808155928E-6</v>
      </c>
    </row>
    <row r="4" spans="1:8" x14ac:dyDescent="0.4">
      <c r="A4" s="1" t="s">
        <v>3</v>
      </c>
      <c r="B4" s="1">
        <f ca="1">IF(ISNUMBER(H19),H19,0.7)</f>
        <v>1.9534485116916481E-2</v>
      </c>
      <c r="C4" s="1"/>
      <c r="D4" s="1">
        <f ca="1">IF(ISNUMBER(H20),H20,-0.2)</f>
        <v>4.700618367626784E-2</v>
      </c>
      <c r="E4" s="1"/>
      <c r="G4" s="1" t="s">
        <v>23</v>
      </c>
      <c r="H4" s="1">
        <f ca="1">E16*B2*H1</f>
        <v>1.666360579942796E-7</v>
      </c>
    </row>
    <row r="5" spans="1:8" x14ac:dyDescent="0.4">
      <c r="A5" s="1" t="s">
        <v>4</v>
      </c>
      <c r="B5" s="1">
        <f ca="1">1/(1+EXP(-1*(B2*B3+C2*C3-B4)))</f>
        <v>0.96606847128156559</v>
      </c>
      <c r="C5" s="1"/>
      <c r="D5" s="1">
        <f ca="1">1/(1+EXP(-1*(D2*D3+E2*E3-B4)))</f>
        <v>0.49511653401241812</v>
      </c>
      <c r="E5" s="1"/>
      <c r="G5" s="1" t="s">
        <v>24</v>
      </c>
      <c r="H5" s="1">
        <f ca="1">E16*C2*H1</f>
        <v>1.666360579942796E-7</v>
      </c>
    </row>
    <row r="6" spans="1:8" x14ac:dyDescent="0.4">
      <c r="G6" s="1" t="s">
        <v>25</v>
      </c>
      <c r="H6" s="1">
        <f ca="1">E16*B2*H2</f>
        <v>-5.7862642997137481E-8</v>
      </c>
    </row>
    <row r="7" spans="1:8" x14ac:dyDescent="0.4">
      <c r="C7" t="s">
        <v>26</v>
      </c>
      <c r="G7" s="1" t="s">
        <v>27</v>
      </c>
      <c r="H7" s="1">
        <f ca="1">E16*C2*H2</f>
        <v>-5.7862642997137481E-8</v>
      </c>
    </row>
    <row r="8" spans="1:8" x14ac:dyDescent="0.4">
      <c r="A8" s="1" t="s">
        <v>21</v>
      </c>
      <c r="B8" s="1">
        <f ca="1">IF(ISNUMBER(H17),H17,-0.9)</f>
        <v>-4.7950289705783744</v>
      </c>
      <c r="C8" s="1"/>
      <c r="D8" s="1">
        <f ca="1">IF(ISNUMBER(H18),H18,0.9)</f>
        <v>0.21833951562429973</v>
      </c>
      <c r="G8" s="1" t="s">
        <v>28</v>
      </c>
      <c r="H8" s="1">
        <f ca="1">E16*B5*H3</f>
        <v>-1.0241702350488916E-6</v>
      </c>
    </row>
    <row r="9" spans="1:8" x14ac:dyDescent="0.4">
      <c r="A9" s="1" t="s">
        <v>3</v>
      </c>
      <c r="B9" s="1"/>
      <c r="C9" s="1">
        <f ca="1">IF(ISNUMBER(H21),H21,0.4)</f>
        <v>2.0055722355406833</v>
      </c>
      <c r="D9" s="1"/>
      <c r="G9" s="1" t="s">
        <v>29</v>
      </c>
      <c r="H9" s="1">
        <f ca="1">E16*D5*H3</f>
        <v>-5.2489407541000137E-7</v>
      </c>
    </row>
    <row r="10" spans="1:8" x14ac:dyDescent="0.4">
      <c r="A10" s="1" t="s">
        <v>4</v>
      </c>
      <c r="B10" s="1"/>
      <c r="C10" s="1">
        <f ca="1">1/(1+EXP(-1*(B5*B8+D5*D8-C9)))</f>
        <v>1.4571784525079878E-3</v>
      </c>
      <c r="D10" s="1"/>
      <c r="G10" s="1" t="s">
        <v>30</v>
      </c>
      <c r="H10" s="1">
        <f ca="1">E16*(-1)*H1</f>
        <v>-1.666360579942796E-7</v>
      </c>
    </row>
    <row r="11" spans="1:8" x14ac:dyDescent="0.4">
      <c r="G11" s="1" t="s">
        <v>31</v>
      </c>
      <c r="H11" s="1">
        <f ca="1">E16*(-1)*H2</f>
        <v>5.7862642997137481E-8</v>
      </c>
    </row>
    <row r="12" spans="1:8" x14ac:dyDescent="0.4">
      <c r="G12" s="1" t="s">
        <v>32</v>
      </c>
      <c r="H12" s="1">
        <f ca="1">E16*(-1)*H3</f>
        <v>1.0601424904077964E-6</v>
      </c>
    </row>
    <row r="13" spans="1:8" x14ac:dyDescent="0.4">
      <c r="G13" s="1" t="s">
        <v>33</v>
      </c>
      <c r="H13" s="1">
        <f ca="1">B3+H4</f>
        <v>0.23980620844027878</v>
      </c>
    </row>
    <row r="14" spans="1:8" x14ac:dyDescent="0.4">
      <c r="G14" s="1" t="s">
        <v>34</v>
      </c>
      <c r="H14" s="1">
        <f ca="1">C3+H5</f>
        <v>3.1286186900446529</v>
      </c>
    </row>
    <row r="15" spans="1:8" x14ac:dyDescent="0.4">
      <c r="A15" s="1" t="s">
        <v>9</v>
      </c>
      <c r="B15" s="1">
        <f>CHOOSE(E15,C19,C20,C21,C22)</f>
        <v>0</v>
      </c>
      <c r="D15" s="1" t="s">
        <v>35</v>
      </c>
      <c r="E15" s="1">
        <v>4</v>
      </c>
      <c r="G15" s="1" t="s">
        <v>36</v>
      </c>
      <c r="H15" s="1">
        <f ca="1">D3+H6</f>
        <v>0.16255561191678131</v>
      </c>
    </row>
    <row r="16" spans="1:8" x14ac:dyDescent="0.4">
      <c r="A16" s="1" t="s">
        <v>37</v>
      </c>
      <c r="B16" s="1">
        <f ca="1">B15-C10</f>
        <v>-1.4571784525079878E-3</v>
      </c>
      <c r="D16" s="1" t="s">
        <v>14</v>
      </c>
      <c r="E16" s="1">
        <v>0.5</v>
      </c>
      <c r="G16" s="1" t="s">
        <v>38</v>
      </c>
      <c r="H16" s="1">
        <f ca="1">E3+H7</f>
        <v>-1.2790740670643994</v>
      </c>
    </row>
    <row r="17" spans="1:8" x14ac:dyDescent="0.4">
      <c r="G17" s="1" t="s">
        <v>39</v>
      </c>
      <c r="H17" s="1">
        <f ca="1">B8+H8</f>
        <v>-4.7950299947486092</v>
      </c>
    </row>
    <row r="18" spans="1:8" x14ac:dyDescent="0.4">
      <c r="A18" s="1" t="s">
        <v>5</v>
      </c>
      <c r="B18" s="1" t="s">
        <v>6</v>
      </c>
      <c r="C18" s="1" t="s">
        <v>16</v>
      </c>
      <c r="G18" s="1" t="s">
        <v>40</v>
      </c>
      <c r="H18" s="1">
        <f ca="1">D8+H9</f>
        <v>0.21833899073022434</v>
      </c>
    </row>
    <row r="19" spans="1:8" x14ac:dyDescent="0.4">
      <c r="A19" s="1">
        <v>0</v>
      </c>
      <c r="B19" s="1">
        <v>0</v>
      </c>
      <c r="C19" s="1">
        <v>0</v>
      </c>
      <c r="G19" s="1" t="s">
        <v>41</v>
      </c>
      <c r="H19" s="1">
        <f ca="1">B4+H10</f>
        <v>1.9534318480858487E-2</v>
      </c>
    </row>
    <row r="20" spans="1:8" x14ac:dyDescent="0.4">
      <c r="A20" s="1">
        <v>1</v>
      </c>
      <c r="B20" s="1">
        <v>0</v>
      </c>
      <c r="C20" s="1">
        <v>1</v>
      </c>
      <c r="G20" s="1" t="s">
        <v>42</v>
      </c>
      <c r="H20" s="1">
        <f ca="1">D4+H11</f>
        <v>4.7006241538910837E-2</v>
      </c>
    </row>
    <row r="21" spans="1:8" x14ac:dyDescent="0.4">
      <c r="A21" s="1">
        <v>0</v>
      </c>
      <c r="B21" s="1">
        <v>1</v>
      </c>
      <c r="C21" s="1">
        <v>1</v>
      </c>
      <c r="G21" s="1" t="s">
        <v>43</v>
      </c>
      <c r="H21" s="1">
        <f ca="1">C9+H12</f>
        <v>2.0055732956831736</v>
      </c>
    </row>
    <row r="22" spans="1:8" x14ac:dyDescent="0.4">
      <c r="A22" s="1">
        <v>1</v>
      </c>
      <c r="B22" s="1">
        <v>1</v>
      </c>
      <c r="C22" s="1">
        <v>0</v>
      </c>
    </row>
  </sheetData>
  <mergeCells count="2">
    <mergeCell ref="B1:C1"/>
    <mergeCell ref="D1:E1"/>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920FB-5791-4BB9-A6FA-EDCA1B1D9E07}">
  <sheetPr codeName="Sheet8"/>
  <dimension ref="A1:AI118"/>
  <sheetViews>
    <sheetView tabSelected="1" topLeftCell="A16" workbookViewId="0">
      <selection activeCell="M49" sqref="M49:O49"/>
    </sheetView>
  </sheetViews>
  <sheetFormatPr defaultRowHeight="17.399999999999999" x14ac:dyDescent="0.4"/>
  <cols>
    <col min="1" max="1" width="5.8984375" customWidth="1"/>
    <col min="2" max="6" width="3" customWidth="1"/>
    <col min="7" max="7" width="3.5" customWidth="1"/>
    <col min="8" max="31" width="3" customWidth="1"/>
    <col min="32" max="32" width="3.5" customWidth="1"/>
    <col min="33" max="33" width="2.69921875" customWidth="1"/>
  </cols>
  <sheetData>
    <row r="1" spans="1:32" ht="19.2" x14ac:dyDescent="0.4">
      <c r="A1" s="79" t="s">
        <v>44</v>
      </c>
      <c r="B1" s="79"/>
      <c r="C1" s="79"/>
      <c r="D1" s="79"/>
      <c r="E1" s="79"/>
      <c r="F1" s="79"/>
      <c r="G1" s="79"/>
      <c r="H1" s="79"/>
      <c r="I1" s="79"/>
      <c r="J1" s="79"/>
      <c r="K1" s="79"/>
      <c r="L1" s="79"/>
      <c r="M1" s="79"/>
      <c r="N1" s="79"/>
      <c r="O1" s="79"/>
      <c r="P1" s="79"/>
      <c r="Q1" s="79"/>
      <c r="R1" s="79"/>
      <c r="S1" s="79"/>
      <c r="T1" s="79"/>
      <c r="U1" s="79"/>
      <c r="V1" s="79"/>
      <c r="W1" s="79"/>
      <c r="X1" s="79"/>
      <c r="Y1" s="79"/>
      <c r="Z1" s="79"/>
      <c r="AA1" s="79"/>
    </row>
    <row r="2" spans="1:32" s="3" customFormat="1" ht="19.2" x14ac:dyDescent="0.4">
      <c r="A2" s="79" t="s">
        <v>45</v>
      </c>
      <c r="B2" s="79"/>
      <c r="C2" s="79"/>
      <c r="D2" s="79"/>
      <c r="E2" s="79"/>
      <c r="F2" s="79"/>
      <c r="G2" s="79"/>
      <c r="H2" s="79"/>
      <c r="I2" s="79"/>
      <c r="J2" s="79"/>
      <c r="K2" s="79"/>
      <c r="L2" s="79"/>
      <c r="M2" s="79"/>
      <c r="N2" s="79"/>
      <c r="O2" s="79"/>
      <c r="P2" s="79"/>
      <c r="Q2" s="79"/>
      <c r="R2" s="79"/>
      <c r="S2" s="79"/>
      <c r="T2" s="79"/>
      <c r="U2" s="79"/>
      <c r="V2" s="79"/>
      <c r="W2" s="79"/>
      <c r="X2" s="79"/>
      <c r="Y2" s="79"/>
      <c r="Z2" s="79"/>
      <c r="AA2" s="79"/>
    </row>
    <row r="4" spans="1:32" x14ac:dyDescent="0.4">
      <c r="A4" s="61" t="s">
        <v>46</v>
      </c>
      <c r="B4" s="61"/>
      <c r="C4" s="61"/>
      <c r="D4" s="61"/>
      <c r="E4" s="61"/>
      <c r="F4" s="61"/>
      <c r="G4" s="61"/>
      <c r="H4" s="61"/>
      <c r="I4" s="61"/>
      <c r="J4" s="61"/>
      <c r="K4" s="61"/>
      <c r="L4" s="61"/>
      <c r="M4" s="61"/>
      <c r="N4" s="61"/>
      <c r="O4" s="61"/>
      <c r="P4" s="61"/>
      <c r="Q4" s="61"/>
      <c r="R4" s="61"/>
      <c r="S4" s="61"/>
      <c r="T4" s="61"/>
      <c r="U4" s="61"/>
      <c r="V4" s="61"/>
      <c r="W4" s="61"/>
      <c r="X4" s="61"/>
      <c r="Y4" s="61"/>
      <c r="Z4" s="61"/>
      <c r="AA4" s="61"/>
    </row>
    <row r="5" spans="1:32" s="5" customFormat="1" ht="10.8" x14ac:dyDescent="0.4">
      <c r="A5" s="4" t="s">
        <v>47</v>
      </c>
      <c r="B5" s="4">
        <v>10</v>
      </c>
      <c r="C5" s="4">
        <v>11</v>
      </c>
      <c r="D5" s="4">
        <v>12</v>
      </c>
      <c r="E5" s="4">
        <v>13</v>
      </c>
      <c r="F5" s="4">
        <v>14</v>
      </c>
      <c r="G5" s="4">
        <v>15</v>
      </c>
      <c r="H5" s="4">
        <v>16</v>
      </c>
      <c r="I5" s="4">
        <v>17</v>
      </c>
      <c r="J5" s="4">
        <v>18</v>
      </c>
      <c r="K5" s="4">
        <v>19</v>
      </c>
      <c r="L5" s="4">
        <v>20</v>
      </c>
      <c r="M5" s="4">
        <v>21</v>
      </c>
      <c r="N5" s="4">
        <v>22</v>
      </c>
      <c r="O5" s="4">
        <v>23</v>
      </c>
      <c r="P5" s="4">
        <v>24</v>
      </c>
      <c r="Q5" s="4">
        <v>25</v>
      </c>
      <c r="R5" s="4">
        <v>26</v>
      </c>
      <c r="S5" s="4">
        <v>27</v>
      </c>
      <c r="T5" s="4">
        <v>28</v>
      </c>
      <c r="U5" s="4">
        <v>29</v>
      </c>
      <c r="V5" s="4">
        <v>30</v>
      </c>
      <c r="W5" s="4">
        <v>31</v>
      </c>
      <c r="X5" s="4">
        <v>32</v>
      </c>
      <c r="Y5" s="4">
        <v>33</v>
      </c>
      <c r="Z5" s="4">
        <v>34</v>
      </c>
      <c r="AA5" s="4">
        <v>35</v>
      </c>
    </row>
    <row r="6" spans="1:32" s="5" customFormat="1" ht="10.8" x14ac:dyDescent="0.4">
      <c r="A6" s="4" t="s">
        <v>48</v>
      </c>
      <c r="B6" s="6">
        <v>0</v>
      </c>
      <c r="C6" s="6">
        <v>0</v>
      </c>
      <c r="D6" s="6">
        <v>0</v>
      </c>
      <c r="E6" s="6">
        <v>0</v>
      </c>
      <c r="F6" s="6">
        <v>0</v>
      </c>
      <c r="G6" s="6">
        <v>0</v>
      </c>
      <c r="H6" s="6">
        <v>0</v>
      </c>
      <c r="I6" s="6">
        <v>0</v>
      </c>
      <c r="J6" s="6">
        <v>0</v>
      </c>
      <c r="K6" s="6">
        <v>0</v>
      </c>
      <c r="L6" s="6">
        <v>0</v>
      </c>
      <c r="M6" s="6">
        <v>0.1</v>
      </c>
      <c r="N6" s="6">
        <v>0.2</v>
      </c>
      <c r="O6" s="6">
        <v>0.3</v>
      </c>
      <c r="P6" s="6">
        <v>0.4</v>
      </c>
      <c r="Q6" s="6">
        <v>0.5</v>
      </c>
      <c r="R6" s="6">
        <v>0.6</v>
      </c>
      <c r="S6" s="6">
        <v>0.7</v>
      </c>
      <c r="T6" s="6">
        <v>0.8</v>
      </c>
      <c r="U6" s="6">
        <v>0.9</v>
      </c>
      <c r="V6" s="6">
        <v>1</v>
      </c>
      <c r="W6" s="6">
        <v>1</v>
      </c>
      <c r="X6" s="6">
        <v>1</v>
      </c>
      <c r="Y6" s="6">
        <v>1</v>
      </c>
      <c r="Z6" s="6">
        <v>1</v>
      </c>
      <c r="AA6" s="6">
        <v>1</v>
      </c>
      <c r="AB6" s="7"/>
      <c r="AC6" s="7"/>
      <c r="AD6" s="7"/>
      <c r="AE6" s="7"/>
      <c r="AF6" s="7"/>
    </row>
    <row r="7" spans="1:32" s="5" customFormat="1" ht="10.8" x14ac:dyDescent="0.4">
      <c r="A7" s="4" t="s">
        <v>49</v>
      </c>
      <c r="B7" s="6">
        <v>1</v>
      </c>
      <c r="C7" s="6">
        <v>1</v>
      </c>
      <c r="D7" s="6">
        <v>1</v>
      </c>
      <c r="E7" s="6">
        <v>1</v>
      </c>
      <c r="F7" s="6">
        <v>1</v>
      </c>
      <c r="G7" s="6">
        <v>1</v>
      </c>
      <c r="H7" s="6">
        <v>0.9</v>
      </c>
      <c r="I7" s="6">
        <v>0.8</v>
      </c>
      <c r="J7" s="6">
        <v>0.7</v>
      </c>
      <c r="K7" s="6">
        <v>0.6</v>
      </c>
      <c r="L7" s="6">
        <v>0.5</v>
      </c>
      <c r="M7" s="6">
        <v>0.4</v>
      </c>
      <c r="N7" s="6">
        <v>0.3</v>
      </c>
      <c r="O7" s="6">
        <v>0.2</v>
      </c>
      <c r="P7" s="6">
        <v>0.1</v>
      </c>
      <c r="Q7" s="6">
        <v>0</v>
      </c>
      <c r="R7" s="6">
        <v>0</v>
      </c>
      <c r="S7" s="6">
        <v>0</v>
      </c>
      <c r="T7" s="6">
        <v>0</v>
      </c>
      <c r="U7" s="6">
        <v>0</v>
      </c>
      <c r="V7" s="6">
        <v>0</v>
      </c>
      <c r="W7" s="6">
        <v>0</v>
      </c>
      <c r="X7" s="6">
        <v>0</v>
      </c>
      <c r="Y7" s="6">
        <v>0</v>
      </c>
      <c r="Z7" s="6">
        <v>0</v>
      </c>
      <c r="AA7" s="6">
        <v>0</v>
      </c>
      <c r="AB7" s="7"/>
      <c r="AC7" s="7"/>
      <c r="AD7" s="7"/>
      <c r="AE7" s="7"/>
      <c r="AF7" s="7"/>
    </row>
    <row r="9" spans="1:32" x14ac:dyDescent="0.4">
      <c r="A9" s="61" t="s">
        <v>50</v>
      </c>
      <c r="B9" s="61"/>
      <c r="C9" s="61"/>
      <c r="D9" s="61"/>
      <c r="E9" s="61"/>
      <c r="F9" s="61"/>
      <c r="G9" s="61"/>
      <c r="H9" s="61"/>
      <c r="I9" s="61"/>
      <c r="J9" s="61"/>
      <c r="K9" s="61"/>
      <c r="L9" s="61"/>
      <c r="M9" s="61"/>
      <c r="N9" s="61"/>
      <c r="O9" s="61"/>
      <c r="P9" s="61"/>
      <c r="Q9" s="61"/>
      <c r="R9" s="61"/>
      <c r="S9" s="61"/>
      <c r="T9" s="61"/>
      <c r="U9" s="61"/>
      <c r="V9" s="61"/>
    </row>
    <row r="10" spans="1:32" s="5" customFormat="1" ht="10.8" x14ac:dyDescent="0.4">
      <c r="A10" s="4" t="s">
        <v>51</v>
      </c>
      <c r="B10" s="4">
        <v>0</v>
      </c>
      <c r="C10" s="4">
        <v>5</v>
      </c>
      <c r="D10" s="4">
        <v>10</v>
      </c>
      <c r="E10" s="4">
        <v>15</v>
      </c>
      <c r="F10" s="4">
        <v>20</v>
      </c>
      <c r="G10" s="4">
        <v>25</v>
      </c>
      <c r="H10" s="4">
        <v>30</v>
      </c>
      <c r="I10" s="4">
        <v>35</v>
      </c>
      <c r="J10" s="4">
        <v>40</v>
      </c>
      <c r="K10" s="4">
        <v>45</v>
      </c>
      <c r="L10" s="4">
        <v>50</v>
      </c>
      <c r="M10" s="4">
        <v>55</v>
      </c>
      <c r="N10" s="4">
        <v>60</v>
      </c>
      <c r="O10" s="4">
        <v>65</v>
      </c>
      <c r="P10" s="4">
        <v>70</v>
      </c>
      <c r="Q10" s="4">
        <v>75</v>
      </c>
      <c r="R10" s="4">
        <v>80</v>
      </c>
      <c r="S10" s="4">
        <v>85</v>
      </c>
      <c r="T10" s="4">
        <v>90</v>
      </c>
      <c r="U10" s="4">
        <v>95</v>
      </c>
      <c r="V10" s="4">
        <v>100</v>
      </c>
      <c r="W10" s="8"/>
    </row>
    <row r="11" spans="1:32" s="5" customFormat="1" ht="10.8" x14ac:dyDescent="0.4">
      <c r="A11" s="4" t="s">
        <v>48</v>
      </c>
      <c r="B11" s="6">
        <v>0</v>
      </c>
      <c r="C11" s="6">
        <v>0</v>
      </c>
      <c r="D11" s="6">
        <v>0</v>
      </c>
      <c r="E11" s="6">
        <v>0</v>
      </c>
      <c r="F11" s="6">
        <v>0</v>
      </c>
      <c r="G11" s="6">
        <v>0</v>
      </c>
      <c r="H11" s="6">
        <v>0</v>
      </c>
      <c r="I11" s="6">
        <v>0</v>
      </c>
      <c r="J11" s="6">
        <v>0.1</v>
      </c>
      <c r="K11" s="6">
        <v>0.2</v>
      </c>
      <c r="L11" s="6">
        <v>0.3</v>
      </c>
      <c r="M11" s="6">
        <v>0.4</v>
      </c>
      <c r="N11" s="6">
        <v>0.5</v>
      </c>
      <c r="O11" s="6">
        <v>0.6</v>
      </c>
      <c r="P11" s="6">
        <v>0.7</v>
      </c>
      <c r="Q11" s="6">
        <v>0.8</v>
      </c>
      <c r="R11" s="6">
        <v>0.9</v>
      </c>
      <c r="S11" s="6">
        <v>1</v>
      </c>
      <c r="T11" s="6">
        <v>1</v>
      </c>
      <c r="U11" s="6">
        <v>1</v>
      </c>
      <c r="V11" s="6">
        <v>1</v>
      </c>
      <c r="W11" s="9"/>
      <c r="X11" s="7"/>
      <c r="Y11" s="7"/>
      <c r="Z11" s="7"/>
      <c r="AA11" s="7"/>
      <c r="AB11" s="7"/>
      <c r="AC11" s="7"/>
      <c r="AD11" s="7"/>
      <c r="AE11" s="7"/>
      <c r="AF11" s="7"/>
    </row>
    <row r="12" spans="1:32" s="5" customFormat="1" ht="10.8" x14ac:dyDescent="0.4">
      <c r="A12" s="4" t="s">
        <v>49</v>
      </c>
      <c r="B12" s="6">
        <v>1</v>
      </c>
      <c r="C12" s="6">
        <v>1</v>
      </c>
      <c r="D12" s="6">
        <v>1</v>
      </c>
      <c r="E12" s="6">
        <v>1</v>
      </c>
      <c r="F12" s="6">
        <v>1</v>
      </c>
      <c r="G12" s="6">
        <v>1</v>
      </c>
      <c r="H12" s="6">
        <v>0.9</v>
      </c>
      <c r="I12" s="6">
        <v>0.8</v>
      </c>
      <c r="J12" s="6">
        <v>0.7</v>
      </c>
      <c r="K12" s="6">
        <v>0.6</v>
      </c>
      <c r="L12" s="6">
        <v>0.5</v>
      </c>
      <c r="M12" s="6">
        <v>0.4</v>
      </c>
      <c r="N12" s="6">
        <v>0.3</v>
      </c>
      <c r="O12" s="6">
        <v>0.2</v>
      </c>
      <c r="P12" s="6">
        <v>0.1</v>
      </c>
      <c r="Q12" s="6">
        <v>0</v>
      </c>
      <c r="R12" s="6">
        <v>0</v>
      </c>
      <c r="S12" s="6">
        <v>0</v>
      </c>
      <c r="T12" s="6">
        <v>0</v>
      </c>
      <c r="U12" s="6">
        <v>0</v>
      </c>
      <c r="V12" s="6">
        <v>0</v>
      </c>
      <c r="W12" s="9"/>
      <c r="X12" s="7"/>
      <c r="Y12" s="7"/>
      <c r="Z12" s="7"/>
      <c r="AA12" s="7"/>
      <c r="AB12" s="7"/>
      <c r="AC12" s="7"/>
      <c r="AD12" s="7"/>
      <c r="AE12" s="7"/>
      <c r="AF12" s="7"/>
    </row>
    <row r="14" spans="1:32" x14ac:dyDescent="0.4">
      <c r="A14" s="61" t="s">
        <v>52</v>
      </c>
      <c r="B14" s="61"/>
      <c r="C14" s="61"/>
      <c r="D14" s="61"/>
      <c r="E14" s="61"/>
      <c r="F14" s="61"/>
      <c r="G14" s="61"/>
      <c r="H14" s="61"/>
      <c r="I14" s="61"/>
      <c r="J14" s="61"/>
      <c r="K14" s="61"/>
      <c r="L14" s="61"/>
      <c r="M14" s="61"/>
      <c r="N14" s="61"/>
      <c r="O14" s="61"/>
      <c r="P14" s="61"/>
      <c r="Q14" s="61"/>
      <c r="R14" s="61"/>
    </row>
    <row r="15" spans="1:32" s="5" customFormat="1" ht="10.8" x14ac:dyDescent="0.4">
      <c r="A15" s="4" t="s">
        <v>53</v>
      </c>
      <c r="B15" s="4">
        <v>-8</v>
      </c>
      <c r="C15" s="4">
        <v>-7</v>
      </c>
      <c r="D15" s="4">
        <v>-6</v>
      </c>
      <c r="E15" s="4">
        <v>-5</v>
      </c>
      <c r="F15" s="4">
        <v>-4</v>
      </c>
      <c r="G15" s="4">
        <v>-3</v>
      </c>
      <c r="H15" s="4">
        <v>-2</v>
      </c>
      <c r="I15" s="4">
        <v>-1</v>
      </c>
      <c r="J15" s="4">
        <v>0</v>
      </c>
      <c r="K15" s="4">
        <v>1</v>
      </c>
      <c r="L15" s="4">
        <v>2</v>
      </c>
      <c r="M15" s="4">
        <v>3</v>
      </c>
      <c r="N15" s="4">
        <v>4</v>
      </c>
      <c r="O15" s="4">
        <v>5</v>
      </c>
      <c r="P15" s="4">
        <v>6</v>
      </c>
      <c r="Q15" s="4">
        <v>7</v>
      </c>
      <c r="R15" s="4">
        <v>8</v>
      </c>
    </row>
    <row r="16" spans="1:32" s="5" customFormat="1" ht="10.8" x14ac:dyDescent="0.4">
      <c r="A16" s="4" t="s">
        <v>54</v>
      </c>
      <c r="B16" s="6">
        <v>1</v>
      </c>
      <c r="C16" s="6">
        <v>1</v>
      </c>
      <c r="D16" s="6">
        <v>1</v>
      </c>
      <c r="E16" s="6">
        <v>0.8</v>
      </c>
      <c r="F16" s="6">
        <v>0.6</v>
      </c>
      <c r="G16" s="6">
        <v>0.4</v>
      </c>
      <c r="H16" s="6">
        <v>0.2</v>
      </c>
      <c r="I16" s="6">
        <v>0</v>
      </c>
      <c r="J16" s="6">
        <v>0</v>
      </c>
      <c r="K16" s="6">
        <v>0</v>
      </c>
      <c r="L16" s="6">
        <v>0</v>
      </c>
      <c r="M16" s="6">
        <v>0</v>
      </c>
      <c r="N16" s="6">
        <v>0</v>
      </c>
      <c r="O16" s="6">
        <v>0</v>
      </c>
      <c r="P16" s="6">
        <v>0</v>
      </c>
      <c r="Q16" s="6">
        <v>0</v>
      </c>
      <c r="R16" s="6">
        <v>0</v>
      </c>
      <c r="S16" s="7"/>
      <c r="T16" s="7"/>
      <c r="U16" s="7"/>
      <c r="V16" s="7"/>
      <c r="W16" s="7"/>
      <c r="X16" s="7"/>
      <c r="Y16" s="7"/>
      <c r="Z16" s="7"/>
      <c r="AA16" s="7"/>
      <c r="AB16" s="7"/>
      <c r="AC16" s="7"/>
      <c r="AD16" s="7"/>
      <c r="AE16" s="7"/>
      <c r="AF16" s="7"/>
    </row>
    <row r="17" spans="1:32" s="5" customFormat="1" ht="10.8" x14ac:dyDescent="0.4">
      <c r="A17" s="4" t="s">
        <v>55</v>
      </c>
      <c r="B17" s="6">
        <v>0</v>
      </c>
      <c r="C17" s="6">
        <v>0.2</v>
      </c>
      <c r="D17" s="6">
        <v>0.4</v>
      </c>
      <c r="E17" s="6">
        <v>0.6</v>
      </c>
      <c r="F17" s="6">
        <v>0.8</v>
      </c>
      <c r="G17" s="6">
        <v>1</v>
      </c>
      <c r="H17" s="6">
        <v>1</v>
      </c>
      <c r="I17" s="6">
        <v>0.8</v>
      </c>
      <c r="J17" s="6">
        <v>0.6</v>
      </c>
      <c r="K17" s="6">
        <v>0.4</v>
      </c>
      <c r="L17" s="6">
        <v>0.2</v>
      </c>
      <c r="M17" s="6">
        <v>0</v>
      </c>
      <c r="N17" s="6">
        <v>0</v>
      </c>
      <c r="O17" s="6">
        <v>0</v>
      </c>
      <c r="P17" s="6">
        <v>0</v>
      </c>
      <c r="Q17" s="6">
        <v>0</v>
      </c>
      <c r="R17" s="6">
        <v>0</v>
      </c>
      <c r="S17" s="7"/>
      <c r="T17" s="7"/>
      <c r="U17" s="7"/>
      <c r="V17" s="7"/>
      <c r="W17" s="7"/>
      <c r="X17" s="7"/>
      <c r="Y17" s="7"/>
      <c r="Z17" s="7"/>
      <c r="AA17" s="7"/>
      <c r="AB17" s="7"/>
      <c r="AC17" s="7"/>
      <c r="AD17" s="7"/>
      <c r="AE17" s="7"/>
      <c r="AF17" s="7"/>
    </row>
    <row r="18" spans="1:32" ht="14.1" customHeight="1" x14ac:dyDescent="0.4">
      <c r="A18" s="4" t="s">
        <v>56</v>
      </c>
      <c r="B18" s="6">
        <v>0</v>
      </c>
      <c r="C18" s="6">
        <v>0</v>
      </c>
      <c r="D18" s="6">
        <v>0</v>
      </c>
      <c r="E18" s="6">
        <v>0</v>
      </c>
      <c r="F18" s="6">
        <v>0</v>
      </c>
      <c r="G18" s="6">
        <v>0</v>
      </c>
      <c r="H18" s="6">
        <v>0.2</v>
      </c>
      <c r="I18" s="6">
        <v>0.4</v>
      </c>
      <c r="J18" s="6">
        <v>0.6</v>
      </c>
      <c r="K18" s="6">
        <v>0.8</v>
      </c>
      <c r="L18" s="6">
        <v>1</v>
      </c>
      <c r="M18" s="6">
        <v>1</v>
      </c>
      <c r="N18" s="6">
        <v>0.8</v>
      </c>
      <c r="O18" s="6">
        <v>0.6</v>
      </c>
      <c r="P18" s="6">
        <v>0.4</v>
      </c>
      <c r="Q18" s="6">
        <v>0.2</v>
      </c>
      <c r="R18" s="6">
        <v>0</v>
      </c>
    </row>
    <row r="19" spans="1:32" ht="14.4" customHeight="1" x14ac:dyDescent="0.4">
      <c r="A19" s="4" t="s">
        <v>57</v>
      </c>
      <c r="B19" s="6">
        <v>0</v>
      </c>
      <c r="C19" s="6">
        <v>0</v>
      </c>
      <c r="D19" s="6">
        <v>0</v>
      </c>
      <c r="E19" s="6">
        <v>0</v>
      </c>
      <c r="F19" s="6">
        <v>0</v>
      </c>
      <c r="G19" s="6">
        <v>0</v>
      </c>
      <c r="H19" s="6">
        <v>0</v>
      </c>
      <c r="I19" s="6">
        <v>0</v>
      </c>
      <c r="J19" s="6">
        <v>0</v>
      </c>
      <c r="K19" s="6">
        <v>0</v>
      </c>
      <c r="L19" s="6">
        <v>0.2</v>
      </c>
      <c r="M19" s="6">
        <v>0.4</v>
      </c>
      <c r="N19" s="6">
        <v>0.6</v>
      </c>
      <c r="O19" s="6">
        <v>0.8</v>
      </c>
      <c r="P19" s="6">
        <v>1</v>
      </c>
      <c r="Q19" s="6">
        <v>1</v>
      </c>
      <c r="R19" s="6">
        <v>1</v>
      </c>
    </row>
    <row r="20" spans="1:32" s="5" customFormat="1" ht="10.8" x14ac:dyDescent="0.4"/>
    <row r="21" spans="1:32" s="5" customFormat="1" ht="10.8" x14ac:dyDescent="0.4">
      <c r="U21" s="7"/>
      <c r="V21" s="7"/>
      <c r="W21" s="7"/>
      <c r="X21" s="7"/>
      <c r="Y21" s="7"/>
      <c r="Z21" s="7"/>
      <c r="AA21" s="7"/>
      <c r="AB21" s="7"/>
      <c r="AC21" s="7"/>
      <c r="AD21" s="7"/>
      <c r="AE21" s="7"/>
      <c r="AF21" s="7"/>
    </row>
    <row r="22" spans="1:32" s="5" customFormat="1" ht="10.8" x14ac:dyDescent="0.4">
      <c r="U22" s="7"/>
      <c r="V22" s="7"/>
      <c r="W22" s="7"/>
      <c r="X22" s="7"/>
      <c r="Y22" s="7"/>
      <c r="Z22" s="7"/>
      <c r="AA22" s="7"/>
      <c r="AB22" s="7"/>
      <c r="AC22" s="7"/>
      <c r="AD22" s="7"/>
      <c r="AE22" s="7"/>
      <c r="AF22" s="7"/>
    </row>
    <row r="23" spans="1:32" s="5" customFormat="1" ht="10.8" x14ac:dyDescent="0.4">
      <c r="W23" s="7"/>
      <c r="X23" s="7"/>
      <c r="Y23" s="7"/>
      <c r="Z23" s="7"/>
      <c r="AA23" s="7"/>
      <c r="AB23" s="7"/>
      <c r="AC23" s="7"/>
      <c r="AD23" s="7"/>
      <c r="AE23" s="7"/>
      <c r="AF23" s="7"/>
    </row>
    <row r="24" spans="1:32" s="5" customFormat="1" ht="10.8" x14ac:dyDescent="0.4">
      <c r="W24" s="7"/>
      <c r="X24" s="7"/>
      <c r="Y24" s="7"/>
      <c r="Z24" s="7"/>
      <c r="AA24" s="7"/>
      <c r="AB24" s="7"/>
      <c r="AC24" s="7"/>
      <c r="AD24" s="7"/>
      <c r="AE24" s="7"/>
      <c r="AF24" s="7"/>
    </row>
    <row r="25" spans="1:32" s="5" customFormat="1" ht="10.8" x14ac:dyDescent="0.4">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row>
    <row r="37" spans="10:28" ht="19.2" x14ac:dyDescent="0.4">
      <c r="O37" s="68" t="s">
        <v>58</v>
      </c>
      <c r="P37" s="68"/>
      <c r="Q37" s="68"/>
      <c r="R37" s="68"/>
      <c r="S37" s="68"/>
      <c r="T37" s="68"/>
      <c r="U37" s="68"/>
      <c r="V37" s="68"/>
    </row>
    <row r="38" spans="10:28" x14ac:dyDescent="0.4">
      <c r="O38" s="69"/>
      <c r="P38" s="69"/>
      <c r="Q38" s="10" t="s">
        <v>46</v>
      </c>
      <c r="R38" s="11"/>
      <c r="S38" s="11" t="s">
        <v>50</v>
      </c>
      <c r="T38" s="11"/>
      <c r="U38" s="11" t="s">
        <v>53</v>
      </c>
      <c r="V38" s="11"/>
    </row>
    <row r="39" spans="10:28" x14ac:dyDescent="0.4">
      <c r="O39" s="69" t="s">
        <v>59</v>
      </c>
      <c r="P39" s="69"/>
      <c r="Q39" s="1" t="s">
        <v>48</v>
      </c>
      <c r="R39" s="1"/>
      <c r="S39" s="1" t="s">
        <v>48</v>
      </c>
      <c r="T39" s="1"/>
      <c r="U39" s="1" t="s">
        <v>54</v>
      </c>
      <c r="V39" s="1"/>
    </row>
    <row r="40" spans="10:28" x14ac:dyDescent="0.4">
      <c r="O40" s="69" t="s">
        <v>60</v>
      </c>
      <c r="P40" s="69"/>
      <c r="Q40" s="1" t="s">
        <v>48</v>
      </c>
      <c r="R40" s="1"/>
      <c r="S40" s="1" t="s">
        <v>49</v>
      </c>
      <c r="T40" s="1"/>
      <c r="U40" s="1" t="s">
        <v>55</v>
      </c>
      <c r="V40" s="1"/>
    </row>
    <row r="41" spans="10:28" x14ac:dyDescent="0.4">
      <c r="O41" s="69" t="s">
        <v>61</v>
      </c>
      <c r="P41" s="69"/>
      <c r="Q41" s="1" t="s">
        <v>49</v>
      </c>
      <c r="R41" s="1"/>
      <c r="S41" s="1" t="s">
        <v>48</v>
      </c>
      <c r="T41" s="1"/>
      <c r="U41" s="1" t="s">
        <v>56</v>
      </c>
      <c r="V41" s="1"/>
    </row>
    <row r="42" spans="10:28" x14ac:dyDescent="0.4">
      <c r="O42" s="69" t="s">
        <v>62</v>
      </c>
      <c r="P42" s="69"/>
      <c r="Q42" s="1" t="s">
        <v>49</v>
      </c>
      <c r="R42" s="1"/>
      <c r="S42" s="1" t="s">
        <v>49</v>
      </c>
      <c r="T42" s="1"/>
      <c r="U42" s="1" t="s">
        <v>57</v>
      </c>
      <c r="V42" s="1"/>
    </row>
    <row r="45" spans="10:28" s="3" customFormat="1" ht="19.2" x14ac:dyDescent="0.4">
      <c r="J45" s="70" t="s">
        <v>63</v>
      </c>
      <c r="K45" s="70"/>
      <c r="L45" s="70"/>
      <c r="M45" s="70"/>
      <c r="N45" s="70"/>
      <c r="O45" s="70"/>
      <c r="P45" s="70"/>
      <c r="Q45" s="70"/>
      <c r="R45" s="70"/>
      <c r="S45" s="70"/>
      <c r="T45" s="70"/>
      <c r="U45" s="70"/>
      <c r="V45" s="70"/>
      <c r="W45" s="70"/>
      <c r="X45" s="70"/>
      <c r="Y45" s="70"/>
      <c r="Z45" s="70"/>
      <c r="AA45" s="70"/>
      <c r="AB45" s="70"/>
    </row>
    <row r="46" spans="10:28" ht="18" thickBot="1" x14ac:dyDescent="0.45">
      <c r="J46" s="12"/>
      <c r="K46" s="12"/>
      <c r="L46" s="12"/>
      <c r="M46" s="12"/>
      <c r="N46" s="12"/>
      <c r="O46" s="12"/>
      <c r="P46" s="12"/>
      <c r="Q46" s="12"/>
      <c r="R46" s="12"/>
      <c r="S46" s="12"/>
      <c r="T46" s="12"/>
      <c r="U46" s="12"/>
      <c r="V46" s="12"/>
      <c r="W46" s="12"/>
      <c r="X46" s="71" t="s">
        <v>64</v>
      </c>
      <c r="Y46" s="71"/>
      <c r="Z46" s="71"/>
      <c r="AA46" s="71"/>
      <c r="AB46" s="71"/>
    </row>
    <row r="47" spans="10:28" x14ac:dyDescent="0.4">
      <c r="J47" s="12" t="s">
        <v>46</v>
      </c>
      <c r="K47" s="12"/>
      <c r="L47" s="12"/>
      <c r="M47" s="72">
        <v>30</v>
      </c>
      <c r="N47" s="73"/>
      <c r="O47" s="74"/>
      <c r="P47" s="12" t="s">
        <v>65</v>
      </c>
      <c r="Q47" s="12"/>
      <c r="R47" s="12"/>
      <c r="S47" s="12"/>
      <c r="T47" s="12"/>
      <c r="U47" s="12"/>
      <c r="V47" s="12"/>
      <c r="W47" s="12"/>
      <c r="X47" s="12"/>
      <c r="Y47" s="50"/>
      <c r="Z47" s="51"/>
      <c r="AA47" s="52"/>
      <c r="AB47" s="12"/>
    </row>
    <row r="48" spans="10:28" x14ac:dyDescent="0.4">
      <c r="J48" s="12"/>
      <c r="K48" s="12"/>
      <c r="L48" s="12"/>
      <c r="M48" s="12"/>
      <c r="N48" s="12"/>
      <c r="O48" s="12"/>
      <c r="P48" s="12"/>
      <c r="Q48" s="12"/>
      <c r="R48" s="12"/>
      <c r="S48" s="12"/>
      <c r="T48" s="12"/>
      <c r="U48" s="12"/>
      <c r="V48" s="12"/>
      <c r="W48" s="12"/>
      <c r="X48" s="12"/>
      <c r="Y48" s="76">
        <v>-6</v>
      </c>
      <c r="Z48" s="77"/>
      <c r="AA48" s="78"/>
      <c r="AB48" s="12"/>
    </row>
    <row r="49" spans="1:35" ht="18" thickBot="1" x14ac:dyDescent="0.45">
      <c r="J49" s="12" t="s">
        <v>50</v>
      </c>
      <c r="K49" s="12"/>
      <c r="L49" s="12"/>
      <c r="M49" s="72">
        <v>100</v>
      </c>
      <c r="N49" s="73"/>
      <c r="O49" s="74"/>
      <c r="P49" s="12" t="s">
        <v>66</v>
      </c>
      <c r="Q49" s="12"/>
      <c r="R49" s="12"/>
      <c r="S49" s="12"/>
      <c r="T49" s="13"/>
      <c r="U49" s="14"/>
      <c r="V49" s="12"/>
      <c r="W49" s="12"/>
      <c r="X49" s="12"/>
      <c r="Y49" s="53"/>
      <c r="Z49" s="54"/>
      <c r="AA49" s="55"/>
      <c r="AB49" s="12"/>
    </row>
    <row r="50" spans="1:35" x14ac:dyDescent="0.4">
      <c r="J50" s="12"/>
      <c r="K50" s="12"/>
      <c r="L50" s="12"/>
      <c r="M50" s="12"/>
      <c r="N50" s="12"/>
      <c r="O50" s="12"/>
      <c r="P50" s="12"/>
      <c r="Q50" s="12"/>
      <c r="R50" s="12"/>
      <c r="S50" s="12"/>
      <c r="T50" s="12"/>
      <c r="U50" s="12"/>
      <c r="V50" s="12"/>
      <c r="W50" s="12"/>
      <c r="X50" s="12"/>
      <c r="Y50" s="12"/>
      <c r="Z50" s="12"/>
      <c r="AA50" s="12"/>
      <c r="AB50" s="12"/>
    </row>
    <row r="51" spans="1:35" x14ac:dyDescent="0.4">
      <c r="M51" s="75"/>
      <c r="N51" s="75"/>
      <c r="O51" s="75"/>
    </row>
    <row r="54" spans="1:35" ht="19.2" x14ac:dyDescent="0.4">
      <c r="A54" s="68" t="s">
        <v>67</v>
      </c>
      <c r="B54" s="68"/>
      <c r="C54" s="68"/>
      <c r="D54" s="68"/>
      <c r="E54" s="68"/>
      <c r="F54" s="68"/>
      <c r="G54" s="68"/>
      <c r="H54" s="68"/>
      <c r="I54" s="68"/>
    </row>
    <row r="55" spans="1:35" x14ac:dyDescent="0.4">
      <c r="A55" s="1"/>
      <c r="B55" s="66" t="s">
        <v>46</v>
      </c>
      <c r="C55" s="67"/>
      <c r="D55" s="64" t="s">
        <v>50</v>
      </c>
      <c r="E55" s="65"/>
      <c r="F55" s="64" t="s">
        <v>68</v>
      </c>
      <c r="G55" s="65"/>
      <c r="H55" s="15" t="s">
        <v>53</v>
      </c>
      <c r="I55" s="16"/>
      <c r="J55" s="4">
        <v>-8</v>
      </c>
      <c r="K55" s="4">
        <v>-7</v>
      </c>
      <c r="L55" s="4">
        <v>-6</v>
      </c>
      <c r="M55" s="4">
        <v>-5</v>
      </c>
      <c r="N55" s="4">
        <v>-4</v>
      </c>
      <c r="O55" s="4">
        <v>-3</v>
      </c>
      <c r="P55" s="4">
        <v>-2</v>
      </c>
      <c r="Q55" s="4">
        <v>-1</v>
      </c>
      <c r="R55" s="4">
        <v>0</v>
      </c>
      <c r="S55" s="4">
        <v>1</v>
      </c>
      <c r="T55" s="4">
        <v>2</v>
      </c>
      <c r="U55" s="4">
        <v>3</v>
      </c>
      <c r="V55" s="4">
        <v>4</v>
      </c>
      <c r="W55" s="4">
        <v>5</v>
      </c>
      <c r="X55" s="4">
        <v>6</v>
      </c>
      <c r="Y55" s="4">
        <v>7</v>
      </c>
      <c r="Z55" s="4">
        <v>8</v>
      </c>
      <c r="AA55" s="5"/>
      <c r="AB55" s="5"/>
    </row>
    <row r="56" spans="1:35" x14ac:dyDescent="0.4">
      <c r="A56" s="1" t="s">
        <v>59</v>
      </c>
      <c r="B56" s="62">
        <f>HLOOKUP(MAX(10,$M$47),$B$5:$AA$7,2,TRUE)</f>
        <v>1</v>
      </c>
      <c r="C56" s="63"/>
      <c r="D56" s="62">
        <f>HLOOKUP(MAX(0,$M$49),$B$10:$V$12,2,TRUE)</f>
        <v>1</v>
      </c>
      <c r="E56" s="63"/>
      <c r="F56" s="58">
        <f>MIN(B56:D56)</f>
        <v>1</v>
      </c>
      <c r="G56" s="59"/>
      <c r="H56" s="66" t="s">
        <v>69</v>
      </c>
      <c r="I56" s="67"/>
      <c r="J56" s="6">
        <f t="shared" ref="J56:Y59" si="0">MIN(B16,$F56)</f>
        <v>1</v>
      </c>
      <c r="K56" s="6">
        <f t="shared" si="0"/>
        <v>1</v>
      </c>
      <c r="L56" s="6">
        <f t="shared" si="0"/>
        <v>1</v>
      </c>
      <c r="M56" s="6">
        <f t="shared" si="0"/>
        <v>0.8</v>
      </c>
      <c r="N56" s="6">
        <f t="shared" si="0"/>
        <v>0.6</v>
      </c>
      <c r="O56" s="6">
        <f t="shared" si="0"/>
        <v>0.4</v>
      </c>
      <c r="P56" s="6">
        <f t="shared" si="0"/>
        <v>0.2</v>
      </c>
      <c r="Q56" s="6">
        <f t="shared" si="0"/>
        <v>0</v>
      </c>
      <c r="R56" s="6">
        <f t="shared" si="0"/>
        <v>0</v>
      </c>
      <c r="S56" s="6">
        <f t="shared" si="0"/>
        <v>0</v>
      </c>
      <c r="T56" s="6">
        <f t="shared" si="0"/>
        <v>0</v>
      </c>
      <c r="U56" s="6">
        <f t="shared" si="0"/>
        <v>0</v>
      </c>
      <c r="V56" s="6">
        <f t="shared" si="0"/>
        <v>0</v>
      </c>
      <c r="W56" s="6">
        <f t="shared" si="0"/>
        <v>0</v>
      </c>
      <c r="X56" s="6">
        <f t="shared" si="0"/>
        <v>0</v>
      </c>
      <c r="Y56" s="6">
        <f t="shared" si="0"/>
        <v>0</v>
      </c>
      <c r="Z56" s="6">
        <f t="shared" ref="T56:Z59" si="1">MIN(R16,$F56)</f>
        <v>0</v>
      </c>
      <c r="AA56" s="7"/>
      <c r="AB56" s="7"/>
      <c r="AC56" s="7"/>
      <c r="AD56" s="7"/>
    </row>
    <row r="57" spans="1:35" x14ac:dyDescent="0.4">
      <c r="A57" s="1" t="s">
        <v>60</v>
      </c>
      <c r="B57" s="62">
        <f>HLOOKUP(MAX(10,$M$47),$B$5:$AA$7,2,TRUE)</f>
        <v>1</v>
      </c>
      <c r="C57" s="63"/>
      <c r="D57" s="62">
        <f>HLOOKUP(MAX(0,$M$49),$B$10:$V$12,3,TRUE)</f>
        <v>0</v>
      </c>
      <c r="E57" s="63"/>
      <c r="F57" s="58">
        <f>MIN(B57:D57)</f>
        <v>0</v>
      </c>
      <c r="G57" s="59"/>
      <c r="H57" s="64" t="s">
        <v>70</v>
      </c>
      <c r="I57" s="65"/>
      <c r="J57" s="6">
        <f t="shared" si="0"/>
        <v>0</v>
      </c>
      <c r="K57" s="6">
        <f t="shared" si="0"/>
        <v>0</v>
      </c>
      <c r="L57" s="6">
        <f t="shared" si="0"/>
        <v>0</v>
      </c>
      <c r="M57" s="6">
        <f t="shared" si="0"/>
        <v>0</v>
      </c>
      <c r="N57" s="6">
        <f t="shared" si="0"/>
        <v>0</v>
      </c>
      <c r="O57" s="6">
        <f t="shared" si="0"/>
        <v>0</v>
      </c>
      <c r="P57" s="6">
        <f t="shared" si="0"/>
        <v>0</v>
      </c>
      <c r="Q57" s="6">
        <f t="shared" si="0"/>
        <v>0</v>
      </c>
      <c r="R57" s="6">
        <f t="shared" si="0"/>
        <v>0</v>
      </c>
      <c r="S57" s="6">
        <f t="shared" si="0"/>
        <v>0</v>
      </c>
      <c r="T57" s="6">
        <f t="shared" si="1"/>
        <v>0</v>
      </c>
      <c r="U57" s="6">
        <f t="shared" si="1"/>
        <v>0</v>
      </c>
      <c r="V57" s="6">
        <f t="shared" si="1"/>
        <v>0</v>
      </c>
      <c r="W57" s="6">
        <f t="shared" si="1"/>
        <v>0</v>
      </c>
      <c r="X57" s="6">
        <f t="shared" si="1"/>
        <v>0</v>
      </c>
      <c r="Y57" s="6">
        <f t="shared" si="1"/>
        <v>0</v>
      </c>
      <c r="Z57" s="6">
        <f t="shared" si="1"/>
        <v>0</v>
      </c>
      <c r="AA57" s="7"/>
      <c r="AB57" s="7"/>
      <c r="AC57" s="7"/>
      <c r="AD57" s="7"/>
    </row>
    <row r="58" spans="1:35" x14ac:dyDescent="0.4">
      <c r="A58" s="1" t="s">
        <v>61</v>
      </c>
      <c r="B58" s="62">
        <f>HLOOKUP(MAX(10,$M$47),$B$5:$AA$7,3,TRUE)</f>
        <v>0</v>
      </c>
      <c r="C58" s="63"/>
      <c r="D58" s="62">
        <f>HLOOKUP(MAX(0,$M$49),$B$10:$V$12,2,TRUE)</f>
        <v>1</v>
      </c>
      <c r="E58" s="63"/>
      <c r="F58" s="58">
        <f>MIN(B58:D58)</f>
        <v>0</v>
      </c>
      <c r="G58" s="59"/>
      <c r="H58" s="64" t="s">
        <v>71</v>
      </c>
      <c r="I58" s="65"/>
      <c r="J58" s="6">
        <f t="shared" si="0"/>
        <v>0</v>
      </c>
      <c r="K58" s="6">
        <f t="shared" si="0"/>
        <v>0</v>
      </c>
      <c r="L58" s="6">
        <f t="shared" si="0"/>
        <v>0</v>
      </c>
      <c r="M58" s="6">
        <f t="shared" si="0"/>
        <v>0</v>
      </c>
      <c r="N58" s="6">
        <f t="shared" si="0"/>
        <v>0</v>
      </c>
      <c r="O58" s="6">
        <f t="shared" si="0"/>
        <v>0</v>
      </c>
      <c r="P58" s="6">
        <f t="shared" si="0"/>
        <v>0</v>
      </c>
      <c r="Q58" s="6">
        <f t="shared" si="0"/>
        <v>0</v>
      </c>
      <c r="R58" s="6">
        <f t="shared" si="0"/>
        <v>0</v>
      </c>
      <c r="S58" s="6">
        <f t="shared" si="0"/>
        <v>0</v>
      </c>
      <c r="T58" s="6">
        <f t="shared" si="1"/>
        <v>0</v>
      </c>
      <c r="U58" s="6">
        <f t="shared" si="1"/>
        <v>0</v>
      </c>
      <c r="V58" s="6">
        <f t="shared" si="1"/>
        <v>0</v>
      </c>
      <c r="W58" s="6">
        <f t="shared" si="1"/>
        <v>0</v>
      </c>
      <c r="X58" s="6">
        <f t="shared" si="1"/>
        <v>0</v>
      </c>
      <c r="Y58" s="6">
        <f t="shared" si="1"/>
        <v>0</v>
      </c>
      <c r="Z58" s="6">
        <f t="shared" si="1"/>
        <v>0</v>
      </c>
      <c r="AA58" s="7"/>
      <c r="AB58" s="7"/>
      <c r="AC58" s="7"/>
      <c r="AD58" s="7"/>
    </row>
    <row r="59" spans="1:35" x14ac:dyDescent="0.4">
      <c r="A59" s="1" t="s">
        <v>62</v>
      </c>
      <c r="B59" s="62">
        <f>HLOOKUP(MAX(10,$M$47),$B$5:$AA$7,3,TRUE)</f>
        <v>0</v>
      </c>
      <c r="C59" s="63"/>
      <c r="D59" s="62">
        <f>HLOOKUP(MAX(0,$M$49),$B$10:$V$12,3,TRUE)</f>
        <v>0</v>
      </c>
      <c r="E59" s="63"/>
      <c r="F59" s="58">
        <f>MIN(B59:D59)</f>
        <v>0</v>
      </c>
      <c r="G59" s="59"/>
      <c r="H59" s="64" t="s">
        <v>72</v>
      </c>
      <c r="I59" s="65"/>
      <c r="J59" s="6">
        <f t="shared" si="0"/>
        <v>0</v>
      </c>
      <c r="K59" s="6">
        <f t="shared" si="0"/>
        <v>0</v>
      </c>
      <c r="L59" s="6">
        <f t="shared" si="0"/>
        <v>0</v>
      </c>
      <c r="M59" s="6">
        <f t="shared" si="0"/>
        <v>0</v>
      </c>
      <c r="N59" s="6">
        <f t="shared" si="0"/>
        <v>0</v>
      </c>
      <c r="O59" s="6">
        <f t="shared" si="0"/>
        <v>0</v>
      </c>
      <c r="P59" s="6">
        <f t="shared" si="0"/>
        <v>0</v>
      </c>
      <c r="Q59" s="6">
        <f t="shared" si="0"/>
        <v>0</v>
      </c>
      <c r="R59" s="6">
        <f t="shared" si="0"/>
        <v>0</v>
      </c>
      <c r="S59" s="6">
        <f t="shared" si="0"/>
        <v>0</v>
      </c>
      <c r="T59" s="6">
        <f t="shared" si="1"/>
        <v>0</v>
      </c>
      <c r="U59" s="6">
        <f t="shared" si="1"/>
        <v>0</v>
      </c>
      <c r="V59" s="6">
        <f t="shared" si="1"/>
        <v>0</v>
      </c>
      <c r="W59" s="6">
        <f t="shared" si="1"/>
        <v>0</v>
      </c>
      <c r="X59" s="6">
        <f t="shared" si="1"/>
        <v>0</v>
      </c>
      <c r="Y59" s="6">
        <f t="shared" si="1"/>
        <v>0</v>
      </c>
      <c r="Z59" s="6">
        <f t="shared" si="1"/>
        <v>0</v>
      </c>
      <c r="AA59" s="7"/>
      <c r="AB59" s="7"/>
      <c r="AC59" s="7"/>
      <c r="AD59" s="7"/>
    </row>
    <row r="60" spans="1:35" x14ac:dyDescent="0.4">
      <c r="H60" s="64" t="s">
        <v>73</v>
      </c>
      <c r="I60" s="65"/>
      <c r="J60" s="6">
        <f t="shared" ref="J60:Z60" si="2">MAX(J56:J59)</f>
        <v>1</v>
      </c>
      <c r="K60" s="6">
        <f t="shared" si="2"/>
        <v>1</v>
      </c>
      <c r="L60" s="6">
        <f t="shared" si="2"/>
        <v>1</v>
      </c>
      <c r="M60" s="6">
        <f t="shared" si="2"/>
        <v>0.8</v>
      </c>
      <c r="N60" s="6">
        <f t="shared" si="2"/>
        <v>0.6</v>
      </c>
      <c r="O60" s="6">
        <f t="shared" si="2"/>
        <v>0.4</v>
      </c>
      <c r="P60" s="6">
        <f t="shared" si="2"/>
        <v>0.2</v>
      </c>
      <c r="Q60" s="6">
        <f t="shared" si="2"/>
        <v>0</v>
      </c>
      <c r="R60" s="6">
        <f t="shared" si="2"/>
        <v>0</v>
      </c>
      <c r="S60" s="6">
        <f t="shared" si="2"/>
        <v>0</v>
      </c>
      <c r="T60" s="6">
        <f t="shared" si="2"/>
        <v>0</v>
      </c>
      <c r="U60" s="6">
        <f t="shared" si="2"/>
        <v>0</v>
      </c>
      <c r="V60" s="6">
        <f t="shared" si="2"/>
        <v>0</v>
      </c>
      <c r="W60" s="6">
        <f t="shared" si="2"/>
        <v>0</v>
      </c>
      <c r="X60" s="6">
        <f t="shared" si="2"/>
        <v>0</v>
      </c>
      <c r="Y60" s="6">
        <f t="shared" si="2"/>
        <v>0</v>
      </c>
      <c r="Z60" s="6">
        <f t="shared" si="2"/>
        <v>0</v>
      </c>
      <c r="AA60" s="7"/>
      <c r="AB60" s="7"/>
      <c r="AC60" s="7"/>
      <c r="AD60" s="7"/>
      <c r="AH60" s="17"/>
      <c r="AI60" s="17"/>
    </row>
    <row r="61" spans="1:35" x14ac:dyDescent="0.4">
      <c r="AH61" s="17"/>
    </row>
    <row r="62" spans="1:35" x14ac:dyDescent="0.4">
      <c r="M62" s="17"/>
      <c r="AH62" s="17"/>
    </row>
    <row r="103" spans="20:20" x14ac:dyDescent="0.4">
      <c r="T103" t="s">
        <v>74</v>
      </c>
    </row>
    <row r="105" spans="20:20" x14ac:dyDescent="0.4">
      <c r="T105" t="s">
        <v>75</v>
      </c>
    </row>
    <row r="106" spans="20:20" x14ac:dyDescent="0.4">
      <c r="T106" t="s">
        <v>76</v>
      </c>
    </row>
    <row r="107" spans="20:20" x14ac:dyDescent="0.4">
      <c r="T107" s="18" t="s">
        <v>77</v>
      </c>
    </row>
    <row r="108" spans="20:20" x14ac:dyDescent="0.4">
      <c r="T108" t="s">
        <v>78</v>
      </c>
    </row>
    <row r="110" spans="20:20" x14ac:dyDescent="0.4">
      <c r="T110" t="s">
        <v>79</v>
      </c>
    </row>
    <row r="118" spans="1:11" ht="19.2" x14ac:dyDescent="0.4">
      <c r="A118" s="3" t="s">
        <v>80</v>
      </c>
      <c r="B118" s="3"/>
      <c r="C118" s="3"/>
      <c r="D118" s="3"/>
      <c r="E118" s="3"/>
      <c r="F118" s="3"/>
      <c r="G118" s="3"/>
      <c r="H118" s="3"/>
      <c r="I118" s="3"/>
      <c r="J118" s="3"/>
      <c r="K118" s="3"/>
    </row>
  </sheetData>
  <mergeCells count="38">
    <mergeCell ref="O37:V37"/>
    <mergeCell ref="Y48:AA48"/>
    <mergeCell ref="A1:AA1"/>
    <mergeCell ref="A2:AA2"/>
    <mergeCell ref="A4:AA4"/>
    <mergeCell ref="A9:V9"/>
    <mergeCell ref="A14:R14"/>
    <mergeCell ref="A54:I54"/>
    <mergeCell ref="O38:P38"/>
    <mergeCell ref="O39:P39"/>
    <mergeCell ref="O40:P40"/>
    <mergeCell ref="O41:P41"/>
    <mergeCell ref="O42:P42"/>
    <mergeCell ref="J45:AB45"/>
    <mergeCell ref="X46:AB46"/>
    <mergeCell ref="M47:O47"/>
    <mergeCell ref="M49:O49"/>
    <mergeCell ref="M51:O51"/>
    <mergeCell ref="B58:C58"/>
    <mergeCell ref="D58:E58"/>
    <mergeCell ref="F58:G58"/>
    <mergeCell ref="H58:I58"/>
    <mergeCell ref="B55:C55"/>
    <mergeCell ref="D55:E55"/>
    <mergeCell ref="F55:G55"/>
    <mergeCell ref="B56:C56"/>
    <mergeCell ref="D56:E56"/>
    <mergeCell ref="F56:G56"/>
    <mergeCell ref="H56:I56"/>
    <mergeCell ref="B57:C57"/>
    <mergeCell ref="D57:E57"/>
    <mergeCell ref="F57:G57"/>
    <mergeCell ref="H57:I57"/>
    <mergeCell ref="B59:C59"/>
    <mergeCell ref="D59:E59"/>
    <mergeCell ref="F59:G59"/>
    <mergeCell ref="H59:I59"/>
    <mergeCell ref="H60:I6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fuzzy">
                <anchor moveWithCells="1" sizeWithCells="1">
                  <from>
                    <xdr:col>16</xdr:col>
                    <xdr:colOff>213360</xdr:colOff>
                    <xdr:row>46</xdr:row>
                    <xdr:rowOff>144780</xdr:rowOff>
                  </from>
                  <to>
                    <xdr:col>21</xdr:col>
                    <xdr:colOff>198120</xdr:colOff>
                    <xdr:row>48</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35721-2656-4EE5-A787-8250DF353F2B}">
  <sheetPr codeName="Sheet9"/>
  <dimension ref="A1:AN39"/>
  <sheetViews>
    <sheetView workbookViewId="0">
      <selection activeCell="L12" sqref="L12"/>
    </sheetView>
  </sheetViews>
  <sheetFormatPr defaultColWidth="9" defaultRowHeight="15.6" x14ac:dyDescent="0.4"/>
  <cols>
    <col min="1" max="58" width="2.3984375" style="19" customWidth="1"/>
    <col min="59" max="16384" width="9" style="19"/>
  </cols>
  <sheetData>
    <row r="1" spans="1:40" ht="19.5" customHeight="1" x14ac:dyDescent="0.4">
      <c r="A1" s="79" t="s">
        <v>81</v>
      </c>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row>
    <row r="3" spans="1:40" x14ac:dyDescent="0.4">
      <c r="AC3" s="20"/>
    </row>
    <row r="4" spans="1:40" x14ac:dyDescent="0.4">
      <c r="A4" s="93" t="s">
        <v>82</v>
      </c>
      <c r="B4" s="93"/>
      <c r="C4" s="93"/>
      <c r="D4" s="93"/>
      <c r="E4" s="93"/>
      <c r="F4" s="93"/>
      <c r="G4" s="93"/>
      <c r="H4" s="93"/>
      <c r="I4" s="93"/>
      <c r="J4" s="93"/>
      <c r="K4" s="93"/>
      <c r="L4" s="93"/>
      <c r="M4" s="93"/>
      <c r="N4" s="93"/>
      <c r="O4" s="93"/>
      <c r="P4" s="93"/>
      <c r="Q4" s="93"/>
      <c r="R4" s="93"/>
      <c r="S4" s="93"/>
      <c r="T4" s="93"/>
      <c r="U4" s="93"/>
      <c r="V4" s="93"/>
      <c r="W4" s="93"/>
      <c r="X4" s="93"/>
      <c r="Y4" s="85" t="s">
        <v>83</v>
      </c>
      <c r="Z4" s="85"/>
      <c r="AA4" s="85"/>
      <c r="AB4" s="85"/>
      <c r="AC4" s="85"/>
      <c r="AD4" s="85"/>
      <c r="AN4" s="21"/>
    </row>
    <row r="5" spans="1:40" ht="17.399999999999999" x14ac:dyDescent="0.4">
      <c r="A5" s="21">
        <v>1</v>
      </c>
      <c r="B5" s="22" t="s">
        <v>84</v>
      </c>
      <c r="C5" s="22"/>
      <c r="D5" s="22"/>
      <c r="E5" s="22"/>
      <c r="F5" s="22"/>
      <c r="G5" s="22"/>
      <c r="H5" s="22"/>
      <c r="I5" s="22"/>
      <c r="J5" s="22"/>
      <c r="K5" s="22"/>
      <c r="L5" s="49">
        <v>1</v>
      </c>
      <c r="M5" s="22" t="s">
        <v>85</v>
      </c>
      <c r="O5" s="22"/>
      <c r="P5" s="49"/>
      <c r="Q5" s="22" t="s">
        <v>86</v>
      </c>
      <c r="R5" s="22"/>
      <c r="T5" s="22"/>
      <c r="U5" s="22"/>
      <c r="V5" s="22"/>
      <c r="W5" s="22"/>
      <c r="X5" s="48">
        <v>1</v>
      </c>
      <c r="Y5" s="80" t="s">
        <v>87</v>
      </c>
      <c r="Z5" s="86"/>
      <c r="AA5" s="86"/>
      <c r="AB5" s="86"/>
      <c r="AC5" s="86"/>
      <c r="AD5" s="87"/>
      <c r="AE5" s="83"/>
      <c r="AF5" s="84"/>
    </row>
    <row r="6" spans="1:40" ht="17.399999999999999" x14ac:dyDescent="0.4">
      <c r="A6" s="21">
        <v>2</v>
      </c>
      <c r="B6" s="22" t="s">
        <v>88</v>
      </c>
      <c r="C6" s="22"/>
      <c r="D6" s="22"/>
      <c r="E6" s="22"/>
      <c r="F6" s="22"/>
      <c r="G6" s="22"/>
      <c r="H6" s="22"/>
      <c r="I6" s="22"/>
      <c r="J6" s="22"/>
      <c r="K6" s="22"/>
      <c r="L6" s="49"/>
      <c r="M6" s="22" t="s">
        <v>85</v>
      </c>
      <c r="O6" s="22"/>
      <c r="P6" s="49"/>
      <c r="Q6" s="22" t="s">
        <v>86</v>
      </c>
      <c r="R6" s="22"/>
      <c r="T6" s="22"/>
      <c r="U6" s="22"/>
      <c r="V6" s="22"/>
      <c r="W6" s="22"/>
      <c r="X6" s="25">
        <v>2</v>
      </c>
      <c r="Y6" s="89" t="s">
        <v>89</v>
      </c>
      <c r="Z6" s="90"/>
      <c r="AA6" s="90"/>
      <c r="AB6" s="90"/>
      <c r="AC6" s="90"/>
      <c r="AD6" s="91"/>
      <c r="AE6" s="92">
        <v>8</v>
      </c>
      <c r="AF6" s="84"/>
    </row>
    <row r="7" spans="1:40" ht="17.399999999999999" x14ac:dyDescent="0.4">
      <c r="A7" s="21">
        <v>3</v>
      </c>
      <c r="B7" s="22" t="s">
        <v>90</v>
      </c>
      <c r="C7" s="22"/>
      <c r="D7" s="22"/>
      <c r="E7" s="22"/>
      <c r="F7" s="22"/>
      <c r="G7" s="22"/>
      <c r="H7" s="22"/>
      <c r="I7" s="22"/>
      <c r="J7" s="22"/>
      <c r="K7" s="22"/>
      <c r="L7" s="49"/>
      <c r="M7" s="22" t="s">
        <v>85</v>
      </c>
      <c r="O7" s="22"/>
      <c r="P7" s="49"/>
      <c r="Q7" s="22" t="s">
        <v>86</v>
      </c>
      <c r="R7" s="22"/>
      <c r="T7" s="22"/>
      <c r="U7" s="22"/>
      <c r="V7" s="22"/>
      <c r="W7" s="22"/>
      <c r="X7" s="48">
        <v>3</v>
      </c>
      <c r="Y7" s="80" t="s">
        <v>91</v>
      </c>
      <c r="Z7" s="86"/>
      <c r="AA7" s="86"/>
      <c r="AB7" s="86"/>
      <c r="AC7" s="86"/>
      <c r="AD7" s="87"/>
      <c r="AE7" s="83">
        <v>3</v>
      </c>
      <c r="AF7" s="84"/>
    </row>
    <row r="8" spans="1:40" ht="17.399999999999999" x14ac:dyDescent="0.4">
      <c r="A8" s="21">
        <v>4</v>
      </c>
      <c r="B8" s="22" t="s">
        <v>92</v>
      </c>
      <c r="C8" s="22"/>
      <c r="D8" s="22"/>
      <c r="E8" s="22"/>
      <c r="F8" s="22"/>
      <c r="G8" s="22"/>
      <c r="H8" s="22"/>
      <c r="I8" s="22"/>
      <c r="J8" s="22"/>
      <c r="K8" s="22"/>
      <c r="L8" s="49">
        <v>1</v>
      </c>
      <c r="M8" s="22" t="s">
        <v>85</v>
      </c>
      <c r="O8" s="22"/>
      <c r="P8" s="49"/>
      <c r="Q8" s="22" t="s">
        <v>86</v>
      </c>
      <c r="R8" s="22"/>
      <c r="T8" s="22"/>
      <c r="U8" s="22"/>
      <c r="V8" s="22"/>
      <c r="W8" s="22"/>
      <c r="X8" s="48">
        <v>4</v>
      </c>
      <c r="Y8" s="80" t="s">
        <v>93</v>
      </c>
      <c r="Z8" s="86"/>
      <c r="AA8" s="86"/>
      <c r="AB8" s="86"/>
      <c r="AC8" s="86"/>
      <c r="AD8" s="87"/>
      <c r="AE8" s="83">
        <v>4</v>
      </c>
      <c r="AF8" s="84"/>
    </row>
    <row r="9" spans="1:40" ht="17.399999999999999" x14ac:dyDescent="0.4">
      <c r="A9" s="21">
        <v>5</v>
      </c>
      <c r="B9" s="22" t="s">
        <v>94</v>
      </c>
      <c r="C9" s="22"/>
      <c r="D9" s="22"/>
      <c r="E9" s="22"/>
      <c r="F9" s="22"/>
      <c r="G9" s="22"/>
      <c r="H9" s="22"/>
      <c r="I9" s="22"/>
      <c r="J9" s="22"/>
      <c r="K9" s="22"/>
      <c r="L9" s="49"/>
      <c r="M9" s="22" t="s">
        <v>85</v>
      </c>
      <c r="O9" s="22"/>
      <c r="P9" s="49"/>
      <c r="Q9" s="22" t="s">
        <v>86</v>
      </c>
      <c r="R9" s="22"/>
      <c r="T9" s="22"/>
      <c r="U9" s="22"/>
      <c r="V9" s="22"/>
      <c r="W9" s="22"/>
      <c r="X9" s="48">
        <v>5</v>
      </c>
      <c r="Y9" s="80" t="s">
        <v>95</v>
      </c>
      <c r="Z9" s="86"/>
      <c r="AA9" s="86"/>
      <c r="AB9" s="86"/>
      <c r="AC9" s="86"/>
      <c r="AD9" s="87"/>
      <c r="AE9" s="83">
        <v>4</v>
      </c>
      <c r="AF9" s="84"/>
    </row>
    <row r="10" spans="1:40" ht="17.399999999999999" x14ac:dyDescent="0.4">
      <c r="A10" s="21">
        <v>6</v>
      </c>
      <c r="B10" s="22" t="s">
        <v>96</v>
      </c>
      <c r="C10" s="22"/>
      <c r="D10" s="22"/>
      <c r="E10" s="22"/>
      <c r="F10" s="22"/>
      <c r="G10" s="22"/>
      <c r="H10" s="22"/>
      <c r="I10" s="22"/>
      <c r="J10" s="22"/>
      <c r="K10" s="22"/>
      <c r="L10" s="49">
        <v>1</v>
      </c>
      <c r="M10" s="22" t="s">
        <v>85</v>
      </c>
      <c r="O10" s="22"/>
      <c r="P10" s="49"/>
      <c r="Q10" s="22" t="s">
        <v>86</v>
      </c>
      <c r="R10" s="22"/>
      <c r="T10" s="22"/>
      <c r="U10" s="22"/>
      <c r="V10" s="22"/>
      <c r="W10" s="22"/>
      <c r="X10" s="48"/>
      <c r="Y10" s="80"/>
      <c r="Z10" s="86"/>
      <c r="AA10" s="86"/>
      <c r="AB10" s="86"/>
      <c r="AC10" s="86"/>
      <c r="AD10" s="87"/>
      <c r="AE10" s="83"/>
      <c r="AF10" s="84"/>
    </row>
    <row r="11" spans="1:40" ht="17.399999999999999" x14ac:dyDescent="0.4">
      <c r="A11" s="21">
        <v>7</v>
      </c>
      <c r="B11" s="22" t="s">
        <v>97</v>
      </c>
      <c r="C11" s="22"/>
      <c r="D11" s="22"/>
      <c r="E11" s="22"/>
      <c r="F11" s="22"/>
      <c r="G11" s="22"/>
      <c r="H11" s="22"/>
      <c r="I11" s="22"/>
      <c r="J11" s="22"/>
      <c r="K11" s="22"/>
      <c r="L11" s="49"/>
      <c r="M11" s="22" t="s">
        <v>85</v>
      </c>
      <c r="O11" s="22"/>
      <c r="P11" s="49"/>
      <c r="Q11" s="22" t="s">
        <v>86</v>
      </c>
      <c r="R11" s="22"/>
      <c r="T11" s="22"/>
      <c r="U11" s="22"/>
      <c r="V11" s="22"/>
      <c r="W11" s="22"/>
      <c r="X11" s="48"/>
      <c r="Y11" s="80"/>
      <c r="Z11" s="86"/>
      <c r="AA11" s="86"/>
      <c r="AB11" s="86"/>
      <c r="AC11" s="86"/>
      <c r="AD11" s="87"/>
      <c r="AE11" s="83"/>
      <c r="AF11" s="84"/>
    </row>
    <row r="12" spans="1:40" ht="17.399999999999999" x14ac:dyDescent="0.4">
      <c r="A12" s="21">
        <v>8</v>
      </c>
      <c r="B12" s="22" t="s">
        <v>98</v>
      </c>
      <c r="C12" s="22"/>
      <c r="D12" s="22"/>
      <c r="E12" s="22"/>
      <c r="F12" s="22"/>
      <c r="G12" s="22"/>
      <c r="H12" s="22"/>
      <c r="I12" s="22"/>
      <c r="J12" s="22"/>
      <c r="K12" s="22"/>
      <c r="L12" s="49">
        <v>1</v>
      </c>
      <c r="M12" s="22" t="s">
        <v>85</v>
      </c>
      <c r="O12" s="22"/>
      <c r="P12" s="49"/>
      <c r="Q12" s="22" t="s">
        <v>86</v>
      </c>
      <c r="R12" s="22"/>
      <c r="T12" s="22"/>
      <c r="U12" s="22"/>
      <c r="V12" s="22"/>
      <c r="W12" s="22"/>
      <c r="X12" s="48"/>
      <c r="Y12" s="88"/>
      <c r="Z12" s="86"/>
      <c r="AA12" s="86"/>
      <c r="AB12" s="86"/>
      <c r="AC12" s="86"/>
      <c r="AD12" s="87"/>
      <c r="AE12" s="83"/>
      <c r="AF12" s="84"/>
    </row>
    <row r="13" spans="1:40" ht="17.399999999999999" x14ac:dyDescent="0.4">
      <c r="A13" s="21">
        <v>9</v>
      </c>
      <c r="B13" s="22" t="s">
        <v>99</v>
      </c>
      <c r="C13" s="22"/>
      <c r="D13" s="22"/>
      <c r="E13" s="22"/>
      <c r="F13" s="22"/>
      <c r="G13" s="22"/>
      <c r="H13" s="22"/>
      <c r="I13" s="22"/>
      <c r="J13" s="22"/>
      <c r="K13" s="22"/>
      <c r="L13" s="49"/>
      <c r="M13" s="22" t="s">
        <v>85</v>
      </c>
      <c r="O13" s="22"/>
      <c r="P13" s="49"/>
      <c r="Q13" s="22" t="s">
        <v>86</v>
      </c>
      <c r="R13" s="22"/>
      <c r="T13" s="22"/>
      <c r="U13" s="22"/>
      <c r="V13" s="22"/>
      <c r="W13" s="22"/>
      <c r="X13" s="48"/>
      <c r="Y13" s="80"/>
      <c r="Z13" s="86"/>
      <c r="AA13" s="86"/>
      <c r="AB13" s="86"/>
      <c r="AC13" s="86"/>
      <c r="AD13" s="87"/>
      <c r="AE13" s="83"/>
      <c r="AF13" s="84"/>
    </row>
    <row r="14" spans="1:40" ht="17.399999999999999" x14ac:dyDescent="0.4">
      <c r="A14" s="21">
        <v>10</v>
      </c>
      <c r="B14" s="22" t="s">
        <v>100</v>
      </c>
      <c r="C14" s="22"/>
      <c r="D14" s="22"/>
      <c r="E14" s="22"/>
      <c r="F14" s="22"/>
      <c r="G14" s="22"/>
      <c r="H14" s="22"/>
      <c r="I14" s="22"/>
      <c r="J14" s="22"/>
      <c r="K14" s="22"/>
      <c r="L14" s="49"/>
      <c r="M14" s="22" t="s">
        <v>85</v>
      </c>
      <c r="O14" s="22"/>
      <c r="P14" s="49"/>
      <c r="Q14" s="22" t="s">
        <v>86</v>
      </c>
      <c r="R14" s="22"/>
      <c r="T14" s="22"/>
      <c r="U14" s="22"/>
      <c r="V14" s="22"/>
      <c r="W14" s="22"/>
      <c r="X14" s="48"/>
      <c r="Y14" s="80"/>
      <c r="Z14" s="86"/>
      <c r="AA14" s="86"/>
      <c r="AB14" s="86"/>
      <c r="AC14" s="86"/>
      <c r="AD14" s="87"/>
      <c r="AE14" s="83"/>
      <c r="AF14" s="84"/>
    </row>
    <row r="15" spans="1:40" ht="17.399999999999999" x14ac:dyDescent="0.4">
      <c r="A15" s="21">
        <v>11</v>
      </c>
      <c r="B15" s="22" t="s">
        <v>101</v>
      </c>
      <c r="C15" s="22"/>
      <c r="D15" s="22"/>
      <c r="E15" s="22"/>
      <c r="F15" s="22"/>
      <c r="G15" s="22"/>
      <c r="H15" s="22"/>
      <c r="I15" s="22"/>
      <c r="J15" s="22"/>
      <c r="K15" s="22"/>
      <c r="L15" s="49"/>
      <c r="M15" s="22" t="s">
        <v>85</v>
      </c>
      <c r="O15" s="22"/>
      <c r="P15" s="49"/>
      <c r="Q15" s="22" t="s">
        <v>86</v>
      </c>
      <c r="R15" s="22"/>
      <c r="T15" s="22"/>
      <c r="U15" s="22"/>
      <c r="V15" s="22"/>
      <c r="W15" s="22"/>
      <c r="X15" s="48"/>
      <c r="Y15" s="80"/>
      <c r="Z15" s="81"/>
      <c r="AA15" s="81"/>
      <c r="AB15" s="81"/>
      <c r="AC15" s="81"/>
      <c r="AD15" s="82"/>
      <c r="AE15" s="83"/>
      <c r="AF15" s="84"/>
    </row>
    <row r="16" spans="1:40" ht="17.399999999999999" x14ac:dyDescent="0.4">
      <c r="A16" s="21">
        <v>12</v>
      </c>
      <c r="B16" s="22" t="s">
        <v>102</v>
      </c>
      <c r="C16" s="22"/>
      <c r="D16" s="22"/>
      <c r="E16" s="22"/>
      <c r="F16" s="22"/>
      <c r="G16" s="22"/>
      <c r="H16" s="22"/>
      <c r="I16" s="22"/>
      <c r="J16" s="22"/>
      <c r="K16" s="22"/>
      <c r="L16" s="49"/>
      <c r="M16" s="22" t="s">
        <v>85</v>
      </c>
      <c r="O16" s="22"/>
      <c r="P16" s="49"/>
      <c r="Q16" s="22" t="s">
        <v>86</v>
      </c>
      <c r="R16" s="22"/>
      <c r="T16" s="22"/>
      <c r="U16" s="22"/>
      <c r="V16" s="22"/>
      <c r="W16" s="22"/>
      <c r="X16" s="48"/>
      <c r="Y16" s="80"/>
      <c r="Z16" s="81"/>
      <c r="AA16" s="81"/>
      <c r="AB16" s="81"/>
      <c r="AC16" s="81"/>
      <c r="AD16" s="82"/>
      <c r="AE16" s="83"/>
      <c r="AF16" s="84"/>
    </row>
    <row r="17" spans="1:32" ht="17.399999999999999" x14ac:dyDescent="0.4">
      <c r="A17" s="21">
        <v>13</v>
      </c>
      <c r="B17" s="22" t="s">
        <v>103</v>
      </c>
      <c r="C17" s="22"/>
      <c r="D17" s="22"/>
      <c r="E17" s="22"/>
      <c r="F17" s="22"/>
      <c r="G17" s="22"/>
      <c r="H17" s="22"/>
      <c r="I17" s="22"/>
      <c r="J17" s="22"/>
      <c r="K17" s="22"/>
      <c r="L17" s="49"/>
      <c r="M17" s="22" t="s">
        <v>85</v>
      </c>
      <c r="O17" s="22"/>
      <c r="P17" s="49"/>
      <c r="Q17" s="22" t="s">
        <v>86</v>
      </c>
      <c r="R17" s="22"/>
      <c r="T17" s="22"/>
      <c r="U17" s="22"/>
      <c r="V17" s="22"/>
      <c r="W17" s="22"/>
      <c r="X17" s="48"/>
      <c r="Y17" s="80"/>
      <c r="Z17" s="81"/>
      <c r="AA17" s="81"/>
      <c r="AB17" s="81"/>
      <c r="AC17" s="81"/>
      <c r="AD17" s="82"/>
      <c r="AE17" s="83"/>
      <c r="AF17" s="84"/>
    </row>
    <row r="18" spans="1:32" ht="17.399999999999999" x14ac:dyDescent="0.4">
      <c r="A18" s="21">
        <v>14</v>
      </c>
      <c r="B18" s="22" t="s">
        <v>104</v>
      </c>
      <c r="C18" s="22"/>
      <c r="D18" s="22"/>
      <c r="E18" s="22"/>
      <c r="F18" s="22"/>
      <c r="G18" s="22"/>
      <c r="H18" s="22"/>
      <c r="I18" s="22"/>
      <c r="J18" s="22"/>
      <c r="K18" s="22"/>
      <c r="L18" s="49"/>
      <c r="M18" s="22" t="s">
        <v>85</v>
      </c>
      <c r="O18" s="22"/>
      <c r="P18" s="49"/>
      <c r="Q18" s="22" t="s">
        <v>86</v>
      </c>
      <c r="R18" s="22"/>
      <c r="T18" s="22"/>
      <c r="U18" s="22"/>
      <c r="V18" s="22"/>
      <c r="W18" s="22"/>
      <c r="X18" s="48"/>
      <c r="Y18" s="80"/>
      <c r="Z18" s="81"/>
      <c r="AA18" s="81"/>
      <c r="AB18" s="81"/>
      <c r="AC18" s="81"/>
      <c r="AD18" s="82"/>
      <c r="AE18" s="83"/>
      <c r="AF18" s="84"/>
    </row>
    <row r="19" spans="1:32" ht="17.399999999999999" x14ac:dyDescent="0.4">
      <c r="A19" s="21">
        <v>15</v>
      </c>
      <c r="B19" s="22" t="s">
        <v>105</v>
      </c>
      <c r="C19" s="22"/>
      <c r="D19" s="22"/>
      <c r="E19" s="22"/>
      <c r="F19" s="22"/>
      <c r="G19" s="22"/>
      <c r="H19" s="22"/>
      <c r="I19" s="22"/>
      <c r="J19" s="22"/>
      <c r="K19" s="22"/>
      <c r="L19" s="49"/>
      <c r="M19" s="22" t="s">
        <v>85</v>
      </c>
      <c r="O19" s="22"/>
      <c r="P19" s="49"/>
      <c r="Q19" s="22" t="s">
        <v>86</v>
      </c>
      <c r="R19" s="22"/>
      <c r="T19" s="22"/>
      <c r="U19" s="22"/>
      <c r="V19" s="22"/>
      <c r="W19" s="22"/>
      <c r="X19" s="48"/>
      <c r="Y19" s="80"/>
      <c r="Z19" s="81"/>
      <c r="AA19" s="81"/>
      <c r="AB19" s="81"/>
      <c r="AC19" s="81"/>
      <c r="AD19" s="82"/>
      <c r="AE19" s="83"/>
      <c r="AF19" s="84"/>
    </row>
    <row r="20" spans="1:32" ht="17.399999999999999" x14ac:dyDescent="0.4">
      <c r="A20" s="21">
        <v>16</v>
      </c>
      <c r="B20" s="22" t="s">
        <v>106</v>
      </c>
      <c r="C20" s="22"/>
      <c r="D20" s="22"/>
      <c r="E20" s="22"/>
      <c r="F20" s="22"/>
      <c r="G20" s="22"/>
      <c r="H20" s="22"/>
      <c r="I20" s="22"/>
      <c r="J20" s="22"/>
      <c r="K20" s="22"/>
      <c r="L20" s="49"/>
      <c r="M20" s="22" t="s">
        <v>85</v>
      </c>
      <c r="O20" s="22"/>
      <c r="P20" s="49"/>
      <c r="Q20" s="22" t="s">
        <v>86</v>
      </c>
      <c r="R20" s="22"/>
      <c r="T20" s="22"/>
      <c r="U20" s="22"/>
      <c r="V20" s="22"/>
      <c r="W20" s="22"/>
      <c r="X20" s="48"/>
      <c r="Y20" s="80"/>
      <c r="Z20" s="81"/>
      <c r="AA20" s="81"/>
      <c r="AB20" s="81"/>
      <c r="AC20" s="81"/>
      <c r="AD20" s="82"/>
      <c r="AE20" s="83"/>
      <c r="AF20" s="84"/>
    </row>
    <row r="22" spans="1:32" x14ac:dyDescent="0.4">
      <c r="A22" s="85" t="s">
        <v>107</v>
      </c>
      <c r="B22" s="85"/>
      <c r="C22" s="85"/>
      <c r="D22" s="85"/>
      <c r="E22" s="85"/>
      <c r="F22" s="85"/>
      <c r="G22" s="85"/>
      <c r="H22" s="85"/>
      <c r="I22" s="85"/>
      <c r="J22" s="85"/>
      <c r="K22" s="85"/>
      <c r="L22" s="19" t="s">
        <v>108</v>
      </c>
    </row>
    <row r="23" spans="1:32" x14ac:dyDescent="0.4">
      <c r="A23" s="23" t="s">
        <v>109</v>
      </c>
      <c r="B23" s="26" t="s">
        <v>110</v>
      </c>
      <c r="C23" s="27"/>
      <c r="D23" s="27"/>
      <c r="E23" s="27"/>
      <c r="F23" s="27"/>
      <c r="G23" s="27"/>
      <c r="H23" s="27"/>
      <c r="I23" s="27"/>
      <c r="J23" s="27"/>
      <c r="K23" s="28"/>
      <c r="L23" s="23">
        <v>1</v>
      </c>
      <c r="M23" s="29">
        <v>2</v>
      </c>
      <c r="N23" s="23">
        <v>3</v>
      </c>
      <c r="O23" s="23">
        <v>4</v>
      </c>
      <c r="P23" s="23">
        <v>5</v>
      </c>
      <c r="Q23" s="23">
        <v>6</v>
      </c>
      <c r="R23" s="23">
        <v>7</v>
      </c>
      <c r="S23" s="29">
        <v>8</v>
      </c>
      <c r="T23" s="23">
        <v>9</v>
      </c>
      <c r="U23" s="23">
        <v>10</v>
      </c>
      <c r="V23" s="23">
        <v>11</v>
      </c>
      <c r="W23" s="23">
        <v>12</v>
      </c>
      <c r="X23" s="23">
        <v>13</v>
      </c>
      <c r="Y23" s="29">
        <v>14</v>
      </c>
      <c r="Z23" s="23">
        <v>15</v>
      </c>
      <c r="AA23" s="23">
        <v>16</v>
      </c>
      <c r="AB23" s="23">
        <v>17</v>
      </c>
      <c r="AC23" s="23">
        <v>18</v>
      </c>
      <c r="AD23" s="23">
        <v>19</v>
      </c>
    </row>
    <row r="24" spans="1:32" x14ac:dyDescent="0.4">
      <c r="A24" s="24">
        <v>1</v>
      </c>
      <c r="B24" s="30" t="s">
        <v>111</v>
      </c>
      <c r="C24" s="31"/>
      <c r="D24" s="31"/>
      <c r="E24" s="31"/>
      <c r="F24" s="31"/>
      <c r="G24" s="31"/>
      <c r="H24" s="31"/>
      <c r="I24" s="31"/>
      <c r="J24" s="31"/>
      <c r="K24" s="32"/>
      <c r="L24" s="23">
        <v>1</v>
      </c>
      <c r="M24" s="23">
        <v>1</v>
      </c>
      <c r="N24" s="23">
        <v>1</v>
      </c>
      <c r="O24" s="23">
        <v>1</v>
      </c>
      <c r="P24" s="23">
        <v>1</v>
      </c>
      <c r="Q24" s="23"/>
      <c r="R24" s="23"/>
      <c r="S24" s="23"/>
      <c r="T24" s="23"/>
      <c r="U24" s="23"/>
      <c r="V24" s="23"/>
      <c r="W24" s="23"/>
      <c r="X24" s="23"/>
      <c r="Y24" s="23"/>
      <c r="Z24" s="23"/>
      <c r="AA24" s="23"/>
      <c r="AB24" s="23"/>
      <c r="AC24" s="23"/>
      <c r="AD24" s="23"/>
    </row>
    <row r="25" spans="1:32" x14ac:dyDescent="0.4">
      <c r="A25" s="24">
        <v>2</v>
      </c>
      <c r="B25" s="30" t="s">
        <v>112</v>
      </c>
      <c r="C25" s="31"/>
      <c r="D25" s="31"/>
      <c r="E25" s="31"/>
      <c r="F25" s="31"/>
      <c r="G25" s="31"/>
      <c r="H25" s="31"/>
      <c r="I25" s="31"/>
      <c r="J25" s="31"/>
      <c r="K25" s="32"/>
      <c r="L25" s="23">
        <v>1</v>
      </c>
      <c r="M25" s="23">
        <v>1</v>
      </c>
      <c r="N25" s="23">
        <v>1</v>
      </c>
      <c r="O25" s="23">
        <v>1</v>
      </c>
      <c r="P25" s="23">
        <v>1</v>
      </c>
      <c r="Q25" s="23"/>
      <c r="R25" s="23"/>
      <c r="S25" s="23"/>
      <c r="T25" s="23"/>
      <c r="U25" s="23"/>
      <c r="V25" s="23"/>
      <c r="W25" s="23"/>
      <c r="X25" s="23"/>
      <c r="Y25" s="23"/>
      <c r="Z25" s="23"/>
      <c r="AA25" s="23"/>
      <c r="AB25" s="23"/>
      <c r="AC25" s="23"/>
      <c r="AD25" s="23"/>
    </row>
    <row r="26" spans="1:32" x14ac:dyDescent="0.4">
      <c r="A26" s="24">
        <v>3</v>
      </c>
      <c r="B26" s="30" t="s">
        <v>113</v>
      </c>
      <c r="C26" s="31"/>
      <c r="D26" s="31"/>
      <c r="E26" s="31"/>
      <c r="F26" s="31"/>
      <c r="G26" s="31"/>
      <c r="H26" s="31"/>
      <c r="I26" s="31"/>
      <c r="J26" s="31"/>
      <c r="K26" s="32"/>
      <c r="L26" s="23">
        <v>1</v>
      </c>
      <c r="M26" s="23"/>
      <c r="N26" s="23">
        <v>1</v>
      </c>
      <c r="O26" s="23">
        <v>1</v>
      </c>
      <c r="P26" s="23">
        <v>1</v>
      </c>
      <c r="Q26" s="23"/>
      <c r="R26" s="23"/>
      <c r="S26" s="23"/>
      <c r="T26" s="23"/>
      <c r="U26" s="23"/>
      <c r="V26" s="23"/>
      <c r="W26" s="23"/>
      <c r="X26" s="23"/>
      <c r="Y26" s="23"/>
      <c r="Z26" s="23"/>
      <c r="AA26" s="23"/>
      <c r="AB26" s="23"/>
      <c r="AC26" s="23"/>
      <c r="AD26" s="23"/>
    </row>
    <row r="27" spans="1:32" s="33" customFormat="1" ht="13.2" x14ac:dyDescent="0.4">
      <c r="A27" s="23">
        <v>4</v>
      </c>
      <c r="B27" s="22" t="s">
        <v>114</v>
      </c>
      <c r="F27" s="27"/>
      <c r="G27" s="27"/>
      <c r="H27" s="27"/>
      <c r="I27" s="27"/>
      <c r="J27" s="27"/>
      <c r="K27" s="28"/>
      <c r="L27" s="29">
        <v>1</v>
      </c>
      <c r="M27" s="29">
        <v>1</v>
      </c>
      <c r="N27" s="29"/>
      <c r="O27" s="29"/>
      <c r="P27" s="29">
        <v>1</v>
      </c>
      <c r="Q27" s="29"/>
      <c r="R27" s="29"/>
      <c r="S27" s="29"/>
      <c r="T27" s="29"/>
      <c r="U27" s="29"/>
      <c r="V27" s="29"/>
      <c r="W27" s="29"/>
      <c r="X27" s="29"/>
      <c r="Y27" s="29"/>
      <c r="Z27" s="29"/>
      <c r="AA27" s="29"/>
      <c r="AB27" s="29"/>
      <c r="AC27" s="29"/>
      <c r="AD27" s="29"/>
    </row>
    <row r="28" spans="1:32" x14ac:dyDescent="0.4">
      <c r="A28" s="24">
        <v>5</v>
      </c>
      <c r="B28" s="30" t="s">
        <v>115</v>
      </c>
      <c r="C28" s="31"/>
      <c r="D28" s="31"/>
      <c r="E28" s="31"/>
      <c r="F28" s="31"/>
      <c r="G28" s="31"/>
      <c r="H28" s="31"/>
      <c r="I28" s="31"/>
      <c r="J28" s="31"/>
      <c r="K28" s="32"/>
      <c r="L28" s="23">
        <v>1</v>
      </c>
      <c r="M28" s="23">
        <v>1</v>
      </c>
      <c r="N28" s="23"/>
      <c r="O28" s="23"/>
      <c r="P28" s="23"/>
      <c r="Q28" s="23"/>
      <c r="R28" s="23"/>
      <c r="S28" s="23"/>
      <c r="T28" s="23"/>
      <c r="U28" s="23"/>
      <c r="V28" s="23"/>
      <c r="W28" s="23"/>
      <c r="X28" s="23"/>
      <c r="Y28" s="23"/>
      <c r="Z28" s="23"/>
      <c r="AA28" s="23"/>
      <c r="AB28" s="23"/>
      <c r="AC28" s="23"/>
      <c r="AD28" s="23"/>
    </row>
    <row r="29" spans="1:32" x14ac:dyDescent="0.4">
      <c r="A29" s="24">
        <v>6</v>
      </c>
      <c r="B29" s="30" t="s">
        <v>116</v>
      </c>
      <c r="C29" s="31"/>
      <c r="D29" s="31"/>
      <c r="E29" s="31"/>
      <c r="F29" s="31"/>
      <c r="G29" s="31"/>
      <c r="H29" s="31"/>
      <c r="I29" s="31"/>
      <c r="J29" s="31"/>
      <c r="K29" s="32"/>
      <c r="L29" s="23">
        <v>1</v>
      </c>
      <c r="M29" s="23">
        <v>1</v>
      </c>
      <c r="N29" s="23"/>
      <c r="O29" s="23"/>
      <c r="P29" s="23">
        <v>1</v>
      </c>
      <c r="Q29" s="23"/>
      <c r="R29" s="23"/>
      <c r="S29" s="23"/>
      <c r="T29" s="23"/>
      <c r="U29" s="23"/>
      <c r="V29" s="23"/>
      <c r="W29" s="23"/>
      <c r="X29" s="23"/>
      <c r="Y29" s="23"/>
      <c r="Z29" s="23"/>
      <c r="AA29" s="23"/>
      <c r="AB29" s="23"/>
      <c r="AC29" s="23"/>
      <c r="AD29" s="23"/>
    </row>
    <row r="30" spans="1:32" x14ac:dyDescent="0.4">
      <c r="A30" s="24">
        <v>7</v>
      </c>
      <c r="B30" s="30" t="s">
        <v>117</v>
      </c>
      <c r="C30" s="31"/>
      <c r="D30" s="31"/>
      <c r="E30" s="31"/>
      <c r="F30" s="31"/>
      <c r="G30" s="31"/>
      <c r="H30" s="31"/>
      <c r="I30" s="31"/>
      <c r="J30" s="31"/>
      <c r="K30" s="32"/>
      <c r="L30" s="23">
        <v>1</v>
      </c>
      <c r="M30" s="23"/>
      <c r="N30" s="23">
        <v>1</v>
      </c>
      <c r="O30" s="23"/>
      <c r="P30" s="23">
        <v>1</v>
      </c>
      <c r="Q30" s="23"/>
      <c r="R30" s="23"/>
      <c r="S30" s="23"/>
      <c r="T30" s="23"/>
      <c r="U30" s="23"/>
      <c r="V30" s="23"/>
      <c r="W30" s="23"/>
      <c r="X30" s="23"/>
      <c r="Y30" s="23"/>
      <c r="Z30" s="23"/>
      <c r="AA30" s="23"/>
      <c r="AB30" s="23"/>
      <c r="AC30" s="23"/>
      <c r="AD30" s="23"/>
    </row>
    <row r="31" spans="1:32" x14ac:dyDescent="0.4">
      <c r="A31" s="24">
        <v>8</v>
      </c>
      <c r="B31" s="30" t="s">
        <v>118</v>
      </c>
      <c r="C31" s="31"/>
      <c r="D31" s="31"/>
      <c r="E31" s="31"/>
      <c r="F31" s="31"/>
      <c r="G31" s="31"/>
      <c r="H31" s="31"/>
      <c r="I31" s="31"/>
      <c r="J31" s="31"/>
      <c r="K31" s="32"/>
      <c r="L31" s="23">
        <v>1</v>
      </c>
      <c r="M31" s="23"/>
      <c r="N31" s="23">
        <v>1</v>
      </c>
      <c r="O31" s="23"/>
      <c r="P31" s="23"/>
      <c r="Q31" s="23"/>
      <c r="R31" s="23"/>
      <c r="S31" s="23"/>
      <c r="T31" s="23"/>
      <c r="U31" s="23"/>
      <c r="V31" s="23"/>
      <c r="W31" s="23"/>
      <c r="X31" s="23"/>
      <c r="Y31" s="23"/>
      <c r="Z31" s="23"/>
      <c r="AA31" s="23"/>
      <c r="AB31" s="23"/>
      <c r="AC31" s="23"/>
      <c r="AD31" s="23"/>
    </row>
    <row r="32" spans="1:32" x14ac:dyDescent="0.4">
      <c r="A32" s="24">
        <v>9</v>
      </c>
      <c r="B32" s="30" t="s">
        <v>119</v>
      </c>
      <c r="C32" s="31"/>
      <c r="D32" s="31"/>
      <c r="E32" s="31"/>
      <c r="F32" s="31"/>
      <c r="G32" s="31"/>
      <c r="H32" s="31"/>
      <c r="I32" s="31"/>
      <c r="J32" s="31"/>
      <c r="K32" s="32"/>
      <c r="L32" s="23">
        <v>1</v>
      </c>
      <c r="M32" s="23"/>
      <c r="N32" s="23">
        <v>1</v>
      </c>
      <c r="O32" s="23"/>
      <c r="P32" s="23"/>
      <c r="Q32" s="23"/>
      <c r="R32" s="23"/>
      <c r="S32" s="23"/>
      <c r="T32" s="23"/>
      <c r="U32" s="23"/>
      <c r="V32" s="23"/>
      <c r="W32" s="23"/>
      <c r="X32" s="23"/>
      <c r="Y32" s="23"/>
      <c r="Z32" s="23"/>
      <c r="AA32" s="23"/>
      <c r="AB32" s="23"/>
      <c r="AC32" s="23"/>
      <c r="AD32" s="23"/>
    </row>
    <row r="33" spans="1:30" x14ac:dyDescent="0.4">
      <c r="A33" s="24">
        <v>10</v>
      </c>
      <c r="B33" s="30" t="s">
        <v>120</v>
      </c>
      <c r="C33" s="31"/>
      <c r="D33" s="31"/>
      <c r="E33" s="31"/>
      <c r="F33" s="31"/>
      <c r="G33" s="31"/>
      <c r="H33" s="31"/>
      <c r="I33" s="31"/>
      <c r="J33" s="31"/>
      <c r="K33" s="32"/>
      <c r="L33" s="23">
        <v>1</v>
      </c>
      <c r="M33" s="23"/>
      <c r="N33" s="23">
        <v>1</v>
      </c>
      <c r="O33" s="23">
        <v>1</v>
      </c>
      <c r="P33" s="23">
        <v>1</v>
      </c>
      <c r="Q33" s="23"/>
      <c r="R33" s="23"/>
      <c r="S33" s="23"/>
      <c r="T33" s="23"/>
      <c r="U33" s="23"/>
      <c r="V33" s="23"/>
      <c r="W33" s="23"/>
      <c r="X33" s="23"/>
      <c r="Y33" s="23"/>
      <c r="Z33" s="23"/>
      <c r="AA33" s="23"/>
      <c r="AB33" s="23"/>
      <c r="AC33" s="23"/>
      <c r="AD33" s="23"/>
    </row>
    <row r="34" spans="1:30" x14ac:dyDescent="0.4">
      <c r="A34" s="24">
        <v>11</v>
      </c>
      <c r="B34" s="30" t="s">
        <v>121</v>
      </c>
      <c r="C34" s="31"/>
      <c r="D34" s="31"/>
      <c r="E34" s="31"/>
      <c r="F34" s="31"/>
      <c r="G34" s="31"/>
      <c r="H34" s="31"/>
      <c r="I34" s="31"/>
      <c r="J34" s="31"/>
      <c r="K34" s="32"/>
      <c r="L34" s="23"/>
      <c r="M34" s="23"/>
      <c r="N34" s="23"/>
      <c r="O34" s="23">
        <v>1</v>
      </c>
      <c r="P34" s="23">
        <v>1</v>
      </c>
      <c r="Q34" s="23"/>
      <c r="R34" s="23"/>
      <c r="S34" s="23"/>
      <c r="T34" s="23"/>
      <c r="U34" s="23"/>
      <c r="V34" s="23"/>
      <c r="W34" s="23"/>
      <c r="X34" s="23"/>
      <c r="Y34" s="23"/>
      <c r="Z34" s="23"/>
      <c r="AA34" s="23"/>
      <c r="AB34" s="23"/>
      <c r="AC34" s="23"/>
      <c r="AD34" s="23"/>
    </row>
    <row r="35" spans="1:30" x14ac:dyDescent="0.4">
      <c r="A35" s="24">
        <v>12</v>
      </c>
      <c r="B35" s="30" t="s">
        <v>122</v>
      </c>
      <c r="C35" s="31"/>
      <c r="D35" s="31"/>
      <c r="E35" s="31"/>
      <c r="F35" s="31"/>
      <c r="G35" s="31"/>
      <c r="H35" s="31"/>
      <c r="I35" s="31"/>
      <c r="J35" s="31"/>
      <c r="K35" s="32"/>
      <c r="L35" s="23"/>
      <c r="M35" s="23"/>
      <c r="N35" s="23"/>
      <c r="O35" s="23">
        <v>1</v>
      </c>
      <c r="P35" s="23">
        <v>1</v>
      </c>
      <c r="Q35" s="23"/>
      <c r="R35" s="23"/>
      <c r="S35" s="23"/>
      <c r="T35" s="23"/>
      <c r="U35" s="23"/>
      <c r="V35" s="23"/>
      <c r="W35" s="23"/>
      <c r="X35" s="23"/>
      <c r="Y35" s="23"/>
      <c r="Z35" s="23"/>
      <c r="AA35" s="23"/>
      <c r="AB35" s="23"/>
      <c r="AC35" s="23"/>
      <c r="AD35" s="23"/>
    </row>
    <row r="36" spans="1:30" x14ac:dyDescent="0.4">
      <c r="A36" s="24">
        <v>13</v>
      </c>
      <c r="B36" s="30" t="s">
        <v>123</v>
      </c>
      <c r="C36" s="31"/>
      <c r="D36" s="31"/>
      <c r="E36" s="31"/>
      <c r="F36" s="31"/>
      <c r="G36" s="31"/>
      <c r="H36" s="31"/>
      <c r="I36" s="31"/>
      <c r="J36" s="31"/>
      <c r="K36" s="32"/>
      <c r="L36" s="23"/>
      <c r="M36" s="23"/>
      <c r="N36" s="23"/>
      <c r="O36" s="23">
        <v>1</v>
      </c>
      <c r="P36" s="23">
        <v>1</v>
      </c>
      <c r="Q36" s="23"/>
      <c r="R36" s="23"/>
      <c r="S36" s="23"/>
      <c r="T36" s="23"/>
      <c r="U36" s="23"/>
      <c r="V36" s="23"/>
      <c r="W36" s="23"/>
      <c r="X36" s="23"/>
      <c r="Y36" s="23"/>
      <c r="Z36" s="23"/>
      <c r="AA36" s="23"/>
      <c r="AB36" s="23"/>
      <c r="AC36" s="23"/>
      <c r="AD36" s="23"/>
    </row>
    <row r="37" spans="1:30" x14ac:dyDescent="0.4">
      <c r="A37" s="24">
        <v>14</v>
      </c>
      <c r="B37" s="30" t="s">
        <v>124</v>
      </c>
      <c r="C37" s="31"/>
      <c r="D37" s="31"/>
      <c r="E37" s="31"/>
      <c r="F37" s="31"/>
      <c r="G37" s="31"/>
      <c r="H37" s="31"/>
      <c r="I37" s="31"/>
      <c r="J37" s="31"/>
      <c r="K37" s="32"/>
      <c r="L37" s="23">
        <v>1</v>
      </c>
      <c r="M37" s="23"/>
      <c r="N37" s="23"/>
      <c r="O37" s="23"/>
      <c r="P37" s="23">
        <v>1</v>
      </c>
      <c r="Q37" s="23"/>
      <c r="R37" s="23"/>
      <c r="S37" s="23"/>
      <c r="T37" s="23"/>
      <c r="U37" s="23"/>
      <c r="V37" s="23"/>
      <c r="W37" s="23"/>
      <c r="X37" s="23"/>
      <c r="Y37" s="23"/>
      <c r="Z37" s="23"/>
      <c r="AA37" s="23"/>
      <c r="AB37" s="23"/>
      <c r="AC37" s="23"/>
      <c r="AD37" s="23"/>
    </row>
    <row r="38" spans="1:30" x14ac:dyDescent="0.4">
      <c r="A38" s="24">
        <v>15</v>
      </c>
      <c r="B38" s="30" t="s">
        <v>125</v>
      </c>
      <c r="C38" s="31"/>
      <c r="D38" s="31"/>
      <c r="E38" s="31"/>
      <c r="F38" s="31"/>
      <c r="G38" s="31"/>
      <c r="H38" s="31"/>
      <c r="I38" s="31"/>
      <c r="J38" s="31"/>
      <c r="K38" s="32"/>
      <c r="L38" s="23"/>
      <c r="M38" s="23"/>
      <c r="N38" s="23"/>
      <c r="O38" s="23"/>
      <c r="P38" s="23">
        <v>1</v>
      </c>
      <c r="Q38" s="23"/>
      <c r="R38" s="23"/>
      <c r="S38" s="23"/>
      <c r="T38" s="23"/>
      <c r="U38" s="23"/>
      <c r="V38" s="23"/>
      <c r="W38" s="23"/>
      <c r="X38" s="23"/>
      <c r="Y38" s="23"/>
      <c r="Z38" s="23"/>
      <c r="AA38" s="23"/>
      <c r="AB38" s="23"/>
      <c r="AC38" s="23"/>
      <c r="AD38" s="23"/>
    </row>
    <row r="39" spans="1:30" x14ac:dyDescent="0.4">
      <c r="A39" s="24">
        <v>16</v>
      </c>
      <c r="B39" s="30" t="s">
        <v>126</v>
      </c>
      <c r="C39" s="31"/>
      <c r="D39" s="31"/>
      <c r="E39" s="31"/>
      <c r="F39" s="31"/>
      <c r="G39" s="31"/>
      <c r="H39" s="31"/>
      <c r="I39" s="31"/>
      <c r="J39" s="31"/>
      <c r="K39" s="32"/>
      <c r="L39" s="23"/>
      <c r="M39" s="23"/>
      <c r="N39" s="23"/>
      <c r="O39" s="23"/>
      <c r="P39" s="23">
        <v>1</v>
      </c>
      <c r="Q39" s="23"/>
      <c r="R39" s="23"/>
      <c r="S39" s="23"/>
      <c r="T39" s="23"/>
      <c r="U39" s="23"/>
      <c r="V39" s="23"/>
      <c r="W39" s="23"/>
      <c r="X39" s="23"/>
      <c r="Y39" s="23"/>
      <c r="Z39" s="23"/>
      <c r="AA39" s="23"/>
      <c r="AB39" s="23"/>
      <c r="AC39" s="23"/>
      <c r="AD39" s="23"/>
    </row>
  </sheetData>
  <mergeCells count="36">
    <mergeCell ref="Y6:AD6"/>
    <mergeCell ref="AE6:AF6"/>
    <mergeCell ref="A1:AF1"/>
    <mergeCell ref="A4:X4"/>
    <mergeCell ref="Y4:AD4"/>
    <mergeCell ref="Y5:AD5"/>
    <mergeCell ref="AE5:AF5"/>
    <mergeCell ref="Y7:AD7"/>
    <mergeCell ref="AE7:AF7"/>
    <mergeCell ref="Y8:AD8"/>
    <mergeCell ref="AE8:AF8"/>
    <mergeCell ref="Y9:AD9"/>
    <mergeCell ref="AE9:AF9"/>
    <mergeCell ref="Y10:AD10"/>
    <mergeCell ref="AE10:AF10"/>
    <mergeCell ref="Y11:AD11"/>
    <mergeCell ref="AE11:AF11"/>
    <mergeCell ref="Y12:AD12"/>
    <mergeCell ref="AE12:AF12"/>
    <mergeCell ref="Y13:AD13"/>
    <mergeCell ref="AE13:AF13"/>
    <mergeCell ref="Y14:AD14"/>
    <mergeCell ref="AE14:AF14"/>
    <mergeCell ref="Y15:AD15"/>
    <mergeCell ref="AE15:AF15"/>
    <mergeCell ref="Y16:AD16"/>
    <mergeCell ref="AE16:AF16"/>
    <mergeCell ref="Y17:AD17"/>
    <mergeCell ref="AE17:AF17"/>
    <mergeCell ref="Y18:AD18"/>
    <mergeCell ref="AE18:AF18"/>
    <mergeCell ref="Y19:AD19"/>
    <mergeCell ref="AE19:AF19"/>
    <mergeCell ref="Y20:AD20"/>
    <mergeCell ref="AE20:AF20"/>
    <mergeCell ref="A22:K2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autoFill="0" autoPict="0" macro="[0]!Forward">
                <anchor moveWithCells="1" sizeWithCells="1">
                  <from>
                    <xdr:col>15</xdr:col>
                    <xdr:colOff>76200</xdr:colOff>
                    <xdr:row>2</xdr:row>
                    <xdr:rowOff>7620</xdr:rowOff>
                  </from>
                  <to>
                    <xdr:col>19</xdr:col>
                    <xdr:colOff>38100</xdr:colOff>
                    <xdr:row>3</xdr:row>
                    <xdr:rowOff>68580</xdr:rowOff>
                  </to>
                </anchor>
              </controlPr>
            </control>
          </mc:Choice>
        </mc:AlternateContent>
        <mc:AlternateContent xmlns:mc="http://schemas.openxmlformats.org/markup-compatibility/2006">
          <mc:Choice Requires="x14">
            <control shapeId="9218" r:id="rId4" name="Button 2">
              <controlPr defaultSize="0" autoFill="0" autoPict="0" macro="[0]!Init">
                <anchor moveWithCells="1" sizeWithCells="1">
                  <from>
                    <xdr:col>5</xdr:col>
                    <xdr:colOff>38100</xdr:colOff>
                    <xdr:row>2</xdr:row>
                    <xdr:rowOff>22860</xdr:rowOff>
                  </from>
                  <to>
                    <xdr:col>9</xdr:col>
                    <xdr:colOff>38100</xdr:colOff>
                    <xdr:row>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5179-8BD3-4D39-B1B8-175FE49B50B4}">
  <sheetPr codeName="Sheet10"/>
  <dimension ref="A1:AH93"/>
  <sheetViews>
    <sheetView workbookViewId="0">
      <selection activeCell="M13" sqref="M13"/>
    </sheetView>
  </sheetViews>
  <sheetFormatPr defaultRowHeight="17.399999999999999" x14ac:dyDescent="0.4"/>
  <cols>
    <col min="1" max="1" width="4.69921875" customWidth="1"/>
    <col min="2" max="21" width="3.19921875" customWidth="1"/>
    <col min="22" max="23" width="3.5" customWidth="1"/>
    <col min="24" max="25" width="3.19921875" customWidth="1"/>
    <col min="26" max="26" width="8.3984375" bestFit="1" customWidth="1"/>
    <col min="27" max="31" width="3.19921875" customWidth="1"/>
  </cols>
  <sheetData>
    <row r="1" spans="1:27" x14ac:dyDescent="0.4">
      <c r="N1" s="114" t="s">
        <v>127</v>
      </c>
      <c r="O1" s="114"/>
      <c r="P1" s="114"/>
      <c r="Q1" s="114"/>
      <c r="R1" s="114"/>
      <c r="S1" s="114"/>
      <c r="T1" s="114"/>
      <c r="U1" s="114"/>
      <c r="V1" s="114"/>
      <c r="W1" s="114"/>
      <c r="X1" s="114"/>
      <c r="Y1" s="114"/>
      <c r="Z1" s="114"/>
      <c r="AA1" s="114"/>
    </row>
    <row r="2" spans="1:27" x14ac:dyDescent="0.4">
      <c r="A2" s="34" t="s">
        <v>128</v>
      </c>
      <c r="C2" s="35">
        <v>8</v>
      </c>
      <c r="D2" s="36"/>
      <c r="F2" s="34" t="s">
        <v>129</v>
      </c>
      <c r="I2" s="101">
        <v>2</v>
      </c>
      <c r="J2" s="103"/>
      <c r="N2" s="1"/>
      <c r="O2" s="1">
        <v>1</v>
      </c>
      <c r="P2" s="1">
        <v>2</v>
      </c>
      <c r="Q2" s="1">
        <v>3</v>
      </c>
      <c r="R2" s="1">
        <v>4</v>
      </c>
      <c r="S2" s="4" t="s">
        <v>130</v>
      </c>
      <c r="T2" s="24"/>
      <c r="U2" s="24" t="s">
        <v>131</v>
      </c>
      <c r="V2" s="24">
        <v>1</v>
      </c>
      <c r="W2" s="37" t="s">
        <v>132</v>
      </c>
      <c r="X2" s="116" t="s">
        <v>133</v>
      </c>
      <c r="Y2" s="116"/>
      <c r="Z2" s="69" t="s">
        <v>134</v>
      </c>
      <c r="AA2" s="69"/>
    </row>
    <row r="3" spans="1:27" x14ac:dyDescent="0.4">
      <c r="N3" s="10" t="s">
        <v>135</v>
      </c>
      <c r="O3" s="38">
        <v>1</v>
      </c>
      <c r="P3" s="38">
        <v>0</v>
      </c>
      <c r="Q3" s="38">
        <v>0</v>
      </c>
      <c r="R3" s="38">
        <v>1</v>
      </c>
      <c r="S3" s="111">
        <f>15*X3-X3*X3</f>
        <v>54</v>
      </c>
      <c r="T3" s="112"/>
      <c r="U3" s="1">
        <f>RANK(S3,S$3:S$10,FALSE)</f>
        <v>7</v>
      </c>
      <c r="V3" s="1">
        <v>1</v>
      </c>
      <c r="W3" s="1">
        <v>1</v>
      </c>
      <c r="X3" s="69">
        <f>O3*8+P3*4+Q3*2+R3</f>
        <v>9</v>
      </c>
      <c r="Y3" s="69"/>
      <c r="Z3" s="113">
        <f>S3/SUM($S$3:$T$10)*100</f>
        <v>12.162162162162163</v>
      </c>
      <c r="AA3" s="113"/>
    </row>
    <row r="4" spans="1:27" x14ac:dyDescent="0.4">
      <c r="A4" s="34"/>
      <c r="N4" s="11" t="s">
        <v>136</v>
      </c>
      <c r="O4" s="38">
        <v>1</v>
      </c>
      <c r="P4" s="38">
        <v>0</v>
      </c>
      <c r="Q4" s="38">
        <v>0</v>
      </c>
      <c r="R4" s="38">
        <v>0</v>
      </c>
      <c r="S4" s="111">
        <f t="shared" ref="S4:S10" si="0">15*X4-X4*X4</f>
        <v>56</v>
      </c>
      <c r="T4" s="112"/>
      <c r="U4" s="1">
        <f t="shared" ref="U4:U10" si="1">RANK(S4,S$3:S$10,FALSE)</f>
        <v>1</v>
      </c>
      <c r="V4" s="1">
        <v>1</v>
      </c>
      <c r="W4" s="1">
        <v>2</v>
      </c>
      <c r="X4" s="69">
        <f t="shared" ref="X4:X10" si="2">O4*8+P4*4+Q4*2+R4</f>
        <v>8</v>
      </c>
      <c r="Y4" s="69"/>
      <c r="Z4" s="113">
        <f t="shared" ref="Z4:Z10" si="3">S4/SUM($S$3:$T$10)*100</f>
        <v>12.612612612612612</v>
      </c>
      <c r="AA4" s="113"/>
    </row>
    <row r="5" spans="1:27" x14ac:dyDescent="0.4">
      <c r="N5" s="11" t="s">
        <v>137</v>
      </c>
      <c r="O5" s="38">
        <v>1</v>
      </c>
      <c r="P5" s="38">
        <v>0</v>
      </c>
      <c r="Q5" s="38">
        <v>0</v>
      </c>
      <c r="R5" s="38">
        <v>0</v>
      </c>
      <c r="S5" s="111">
        <f t="shared" si="0"/>
        <v>56</v>
      </c>
      <c r="T5" s="112"/>
      <c r="U5" s="1">
        <f t="shared" si="1"/>
        <v>1</v>
      </c>
      <c r="V5" s="1">
        <v>1</v>
      </c>
      <c r="W5" s="1">
        <v>2</v>
      </c>
      <c r="X5" s="69">
        <f t="shared" si="2"/>
        <v>8</v>
      </c>
      <c r="Y5" s="69"/>
      <c r="Z5" s="113">
        <f t="shared" si="3"/>
        <v>12.612612612612612</v>
      </c>
      <c r="AA5" s="113"/>
    </row>
    <row r="6" spans="1:27" x14ac:dyDescent="0.4">
      <c r="A6" s="107" t="s">
        <v>138</v>
      </c>
      <c r="B6" s="107"/>
      <c r="C6" s="107"/>
      <c r="D6" s="107"/>
      <c r="E6" s="107"/>
      <c r="N6" s="11" t="s">
        <v>139</v>
      </c>
      <c r="O6" s="38">
        <v>1</v>
      </c>
      <c r="P6" s="38">
        <v>0</v>
      </c>
      <c r="Q6" s="38">
        <v>0</v>
      </c>
      <c r="R6" s="38">
        <v>1</v>
      </c>
      <c r="S6" s="111">
        <f t="shared" si="0"/>
        <v>54</v>
      </c>
      <c r="T6" s="112"/>
      <c r="U6" s="1">
        <f t="shared" si="1"/>
        <v>7</v>
      </c>
      <c r="V6" s="1">
        <v>7</v>
      </c>
      <c r="W6" s="1">
        <v>1</v>
      </c>
      <c r="X6" s="69">
        <f t="shared" si="2"/>
        <v>9</v>
      </c>
      <c r="Y6" s="69"/>
      <c r="Z6" s="113">
        <f t="shared" si="3"/>
        <v>12.162162162162163</v>
      </c>
      <c r="AA6" s="113"/>
    </row>
    <row r="7" spans="1:27" x14ac:dyDescent="0.4">
      <c r="A7" s="10" t="s">
        <v>140</v>
      </c>
      <c r="B7" s="39">
        <v>0</v>
      </c>
      <c r="C7" s="39">
        <v>0</v>
      </c>
      <c r="D7" s="39">
        <v>1</v>
      </c>
      <c r="E7" s="39">
        <v>1</v>
      </c>
      <c r="N7" s="11" t="s">
        <v>141</v>
      </c>
      <c r="O7" s="38">
        <v>1</v>
      </c>
      <c r="P7" s="38">
        <v>0</v>
      </c>
      <c r="Q7" s="38">
        <v>0</v>
      </c>
      <c r="R7" s="38">
        <v>0</v>
      </c>
      <c r="S7" s="111">
        <f t="shared" si="0"/>
        <v>56</v>
      </c>
      <c r="T7" s="112"/>
      <c r="U7" s="1">
        <f t="shared" si="1"/>
        <v>1</v>
      </c>
      <c r="V7" s="1">
        <v>1</v>
      </c>
      <c r="W7" s="1">
        <v>3</v>
      </c>
      <c r="X7" s="69">
        <f t="shared" si="2"/>
        <v>8</v>
      </c>
      <c r="Y7" s="69"/>
      <c r="Z7" s="113">
        <f t="shared" si="3"/>
        <v>12.612612612612612</v>
      </c>
      <c r="AA7" s="113"/>
    </row>
    <row r="8" spans="1:27" x14ac:dyDescent="0.4">
      <c r="A8" s="11" t="s">
        <v>142</v>
      </c>
      <c r="B8" s="39">
        <v>0</v>
      </c>
      <c r="C8" s="39">
        <v>0</v>
      </c>
      <c r="D8" s="39">
        <v>1</v>
      </c>
      <c r="E8" s="39">
        <v>1</v>
      </c>
      <c r="N8" s="11" t="s">
        <v>143</v>
      </c>
      <c r="O8" s="38">
        <v>1</v>
      </c>
      <c r="P8" s="38">
        <v>0</v>
      </c>
      <c r="Q8" s="38">
        <v>0</v>
      </c>
      <c r="R8" s="38">
        <v>0</v>
      </c>
      <c r="S8" s="111">
        <f t="shared" si="0"/>
        <v>56</v>
      </c>
      <c r="T8" s="112"/>
      <c r="U8" s="1">
        <f t="shared" si="1"/>
        <v>1</v>
      </c>
      <c r="V8" s="1">
        <v>1</v>
      </c>
      <c r="W8" s="1">
        <v>3</v>
      </c>
      <c r="X8" s="69">
        <f t="shared" si="2"/>
        <v>8</v>
      </c>
      <c r="Y8" s="69"/>
      <c r="Z8" s="113">
        <f t="shared" si="3"/>
        <v>12.612612612612612</v>
      </c>
      <c r="AA8" s="113"/>
    </row>
    <row r="9" spans="1:27" x14ac:dyDescent="0.4">
      <c r="A9" s="11" t="s">
        <v>144</v>
      </c>
      <c r="B9" s="39">
        <v>0</v>
      </c>
      <c r="C9" s="39">
        <v>0</v>
      </c>
      <c r="D9" s="39">
        <v>1</v>
      </c>
      <c r="E9" s="39">
        <v>1</v>
      </c>
      <c r="N9" s="11" t="s">
        <v>145</v>
      </c>
      <c r="O9" s="38">
        <v>1</v>
      </c>
      <c r="P9" s="38">
        <v>0</v>
      </c>
      <c r="Q9" s="38">
        <v>0</v>
      </c>
      <c r="R9" s="38">
        <v>0</v>
      </c>
      <c r="S9" s="111">
        <f t="shared" si="0"/>
        <v>56</v>
      </c>
      <c r="T9" s="112"/>
      <c r="U9" s="1">
        <f t="shared" si="1"/>
        <v>1</v>
      </c>
      <c r="V9" s="1">
        <v>1</v>
      </c>
      <c r="W9" s="1">
        <v>4</v>
      </c>
      <c r="X9" s="69">
        <f t="shared" si="2"/>
        <v>8</v>
      </c>
      <c r="Y9" s="69"/>
      <c r="Z9" s="113">
        <f t="shared" si="3"/>
        <v>12.612612612612612</v>
      </c>
      <c r="AA9" s="113"/>
    </row>
    <row r="10" spans="1:27" x14ac:dyDescent="0.4">
      <c r="A10" s="11" t="s">
        <v>146</v>
      </c>
      <c r="B10" s="39">
        <v>0</v>
      </c>
      <c r="C10" s="39">
        <v>0</v>
      </c>
      <c r="D10" s="39">
        <v>1</v>
      </c>
      <c r="E10" s="39">
        <v>1</v>
      </c>
      <c r="N10" s="11" t="s">
        <v>147</v>
      </c>
      <c r="O10" s="38">
        <v>1</v>
      </c>
      <c r="P10" s="38">
        <v>0</v>
      </c>
      <c r="Q10" s="38">
        <v>0</v>
      </c>
      <c r="R10" s="38">
        <v>0</v>
      </c>
      <c r="S10" s="111">
        <f t="shared" si="0"/>
        <v>56</v>
      </c>
      <c r="T10" s="112"/>
      <c r="U10" s="1">
        <f t="shared" si="1"/>
        <v>1</v>
      </c>
      <c r="V10" s="1">
        <v>1</v>
      </c>
      <c r="W10" s="1">
        <v>4</v>
      </c>
      <c r="X10" s="69">
        <f t="shared" si="2"/>
        <v>8</v>
      </c>
      <c r="Y10" s="69"/>
      <c r="Z10" s="113">
        <f t="shared" si="3"/>
        <v>12.612612612612612</v>
      </c>
      <c r="AA10" s="113"/>
    </row>
    <row r="12" spans="1:27" x14ac:dyDescent="0.4">
      <c r="V12" s="107" t="s">
        <v>148</v>
      </c>
      <c r="W12" s="114"/>
      <c r="X12" s="114"/>
      <c r="Y12" s="114"/>
    </row>
    <row r="13" spans="1:27" x14ac:dyDescent="0.4">
      <c r="V13" s="1">
        <v>0</v>
      </c>
      <c r="W13" s="1">
        <v>0</v>
      </c>
      <c r="X13" s="1">
        <v>0</v>
      </c>
      <c r="Y13" s="1">
        <v>1</v>
      </c>
    </row>
    <row r="14" spans="1:27" x14ac:dyDescent="0.4">
      <c r="A14" s="107" t="s">
        <v>149</v>
      </c>
      <c r="B14" s="107"/>
      <c r="C14" s="107"/>
      <c r="D14" s="107"/>
      <c r="E14" s="107"/>
      <c r="H14" s="115" t="s">
        <v>150</v>
      </c>
      <c r="I14" s="115"/>
      <c r="J14" s="115"/>
      <c r="K14" s="115"/>
      <c r="L14" s="115"/>
      <c r="O14" s="107" t="s">
        <v>151</v>
      </c>
      <c r="P14" s="107"/>
      <c r="Q14" s="107"/>
      <c r="R14" s="107"/>
      <c r="S14" s="107"/>
      <c r="V14" s="1">
        <v>0</v>
      </c>
      <c r="W14" s="1">
        <v>0</v>
      </c>
      <c r="X14" s="1">
        <v>1</v>
      </c>
      <c r="Y14" s="1">
        <v>0</v>
      </c>
    </row>
    <row r="15" spans="1:27" x14ac:dyDescent="0.4">
      <c r="A15" s="1" t="s">
        <v>109</v>
      </c>
      <c r="B15" s="1">
        <v>1</v>
      </c>
      <c r="C15" s="1">
        <v>2</v>
      </c>
      <c r="D15" s="1">
        <v>3</v>
      </c>
      <c r="E15" s="1">
        <v>4</v>
      </c>
      <c r="H15" s="1" t="s">
        <v>109</v>
      </c>
      <c r="I15" s="1">
        <v>1</v>
      </c>
      <c r="J15" s="1">
        <v>2</v>
      </c>
      <c r="K15" s="1">
        <v>3</v>
      </c>
      <c r="L15" s="1">
        <v>4</v>
      </c>
      <c r="O15" s="1" t="s">
        <v>109</v>
      </c>
      <c r="P15" s="1">
        <v>1</v>
      </c>
      <c r="Q15" s="1">
        <v>2</v>
      </c>
      <c r="R15" s="1">
        <v>3</v>
      </c>
      <c r="S15" s="1">
        <v>4</v>
      </c>
      <c r="V15" s="1">
        <v>0</v>
      </c>
      <c r="W15" s="1">
        <v>0</v>
      </c>
      <c r="X15" s="1">
        <v>1</v>
      </c>
      <c r="Y15" s="1">
        <v>1</v>
      </c>
    </row>
    <row r="16" spans="1:27" x14ac:dyDescent="0.4">
      <c r="A16" s="10" t="s">
        <v>135</v>
      </c>
      <c r="B16" s="1">
        <v>1</v>
      </c>
      <c r="C16" s="1">
        <v>1</v>
      </c>
      <c r="D16" s="1">
        <v>0</v>
      </c>
      <c r="E16" s="1">
        <v>1</v>
      </c>
      <c r="H16" s="56" t="s">
        <v>135</v>
      </c>
      <c r="I16" s="57">
        <v>1</v>
      </c>
      <c r="J16" s="57">
        <v>0</v>
      </c>
      <c r="K16" s="57">
        <v>0</v>
      </c>
      <c r="L16" s="57">
        <v>0</v>
      </c>
      <c r="O16" s="10" t="s">
        <v>135</v>
      </c>
      <c r="P16" s="1">
        <v>1</v>
      </c>
      <c r="Q16" s="1">
        <v>0</v>
      </c>
      <c r="R16" s="1">
        <v>0</v>
      </c>
      <c r="S16" s="1">
        <v>1</v>
      </c>
      <c r="V16" s="1">
        <v>0</v>
      </c>
      <c r="W16" s="1">
        <v>1</v>
      </c>
      <c r="X16" s="1">
        <v>0</v>
      </c>
      <c r="Y16" s="1">
        <v>0</v>
      </c>
    </row>
    <row r="17" spans="1:34" x14ac:dyDescent="0.4">
      <c r="A17" s="11" t="s">
        <v>136</v>
      </c>
      <c r="B17" s="1">
        <v>1</v>
      </c>
      <c r="C17" s="1">
        <v>0</v>
      </c>
      <c r="D17" s="1">
        <v>1</v>
      </c>
      <c r="E17" s="1">
        <v>1</v>
      </c>
      <c r="H17" s="117" t="s">
        <v>152</v>
      </c>
      <c r="I17" s="118">
        <v>1</v>
      </c>
      <c r="J17" s="118">
        <v>0</v>
      </c>
      <c r="K17" s="118">
        <v>0</v>
      </c>
      <c r="L17" s="118">
        <v>0</v>
      </c>
      <c r="O17" s="11" t="s">
        <v>136</v>
      </c>
      <c r="P17" s="1">
        <v>1</v>
      </c>
      <c r="Q17" s="1">
        <v>0</v>
      </c>
      <c r="R17" s="1">
        <v>0</v>
      </c>
      <c r="S17" s="1">
        <v>0</v>
      </c>
      <c r="V17" s="1">
        <v>0</v>
      </c>
      <c r="W17" s="1">
        <v>1</v>
      </c>
      <c r="X17" s="1">
        <v>0</v>
      </c>
      <c r="Y17" s="1">
        <v>1</v>
      </c>
    </row>
    <row r="18" spans="1:34" x14ac:dyDescent="0.4">
      <c r="A18" s="11" t="s">
        <v>137</v>
      </c>
      <c r="B18" s="1">
        <v>1</v>
      </c>
      <c r="C18" s="1">
        <v>1</v>
      </c>
      <c r="D18" s="1">
        <v>1</v>
      </c>
      <c r="E18" s="1">
        <v>1</v>
      </c>
      <c r="H18" s="117" t="s">
        <v>153</v>
      </c>
      <c r="I18" s="118">
        <v>1</v>
      </c>
      <c r="J18" s="118">
        <v>0</v>
      </c>
      <c r="K18" s="118">
        <v>0</v>
      </c>
      <c r="L18" s="118">
        <v>0</v>
      </c>
      <c r="O18" s="11" t="s">
        <v>137</v>
      </c>
      <c r="P18" s="1">
        <v>1</v>
      </c>
      <c r="Q18" s="1">
        <v>0</v>
      </c>
      <c r="R18" s="1">
        <v>0</v>
      </c>
      <c r="S18" s="1">
        <v>0</v>
      </c>
      <c r="V18" s="1">
        <v>0</v>
      </c>
      <c r="W18" s="1">
        <v>1</v>
      </c>
      <c r="X18" s="1">
        <v>1</v>
      </c>
      <c r="Y18" s="1">
        <v>0</v>
      </c>
    </row>
    <row r="19" spans="1:34" x14ac:dyDescent="0.4">
      <c r="A19" s="11" t="s">
        <v>139</v>
      </c>
      <c r="B19" s="1">
        <v>1</v>
      </c>
      <c r="C19" s="1">
        <v>1</v>
      </c>
      <c r="D19" s="1">
        <v>0</v>
      </c>
      <c r="E19" s="1">
        <v>1</v>
      </c>
      <c r="H19" s="56" t="s">
        <v>154</v>
      </c>
      <c r="I19" s="57">
        <v>1</v>
      </c>
      <c r="J19" s="57">
        <v>0</v>
      </c>
      <c r="K19" s="57">
        <v>0</v>
      </c>
      <c r="L19" s="57">
        <v>1</v>
      </c>
      <c r="O19" s="11" t="s">
        <v>139</v>
      </c>
      <c r="P19" s="1">
        <v>1</v>
      </c>
      <c r="Q19" s="1">
        <v>0</v>
      </c>
      <c r="R19" s="1">
        <v>0</v>
      </c>
      <c r="S19" s="1">
        <v>0</v>
      </c>
      <c r="V19" s="1">
        <v>0</v>
      </c>
      <c r="W19" s="1">
        <v>1</v>
      </c>
      <c r="X19" s="1">
        <v>1</v>
      </c>
      <c r="Y19" s="1">
        <v>1</v>
      </c>
    </row>
    <row r="20" spans="1:34" x14ac:dyDescent="0.4">
      <c r="A20" s="11" t="s">
        <v>141</v>
      </c>
      <c r="B20" s="1">
        <v>1</v>
      </c>
      <c r="C20" s="1">
        <v>1</v>
      </c>
      <c r="D20" s="1">
        <v>1</v>
      </c>
      <c r="E20" s="1">
        <v>0</v>
      </c>
      <c r="H20" s="117" t="s">
        <v>155</v>
      </c>
      <c r="I20" s="118">
        <v>1</v>
      </c>
      <c r="J20" s="118">
        <v>0</v>
      </c>
      <c r="K20" s="118">
        <v>0</v>
      </c>
      <c r="L20" s="118">
        <v>0</v>
      </c>
      <c r="O20" s="11" t="s">
        <v>141</v>
      </c>
      <c r="P20" s="1">
        <v>1</v>
      </c>
      <c r="Q20" s="1">
        <v>0</v>
      </c>
      <c r="R20" s="1">
        <v>0</v>
      </c>
      <c r="S20" s="1">
        <v>0</v>
      </c>
      <c r="V20" s="1">
        <v>1</v>
      </c>
      <c r="W20" s="1">
        <v>0</v>
      </c>
      <c r="X20" s="1">
        <v>0</v>
      </c>
      <c r="Y20" s="1">
        <v>0</v>
      </c>
    </row>
    <row r="21" spans="1:34" x14ac:dyDescent="0.4">
      <c r="A21" s="11" t="s">
        <v>143</v>
      </c>
      <c r="B21" s="1">
        <v>1</v>
      </c>
      <c r="C21" s="1">
        <v>1</v>
      </c>
      <c r="D21" s="1">
        <v>0</v>
      </c>
      <c r="E21" s="1">
        <v>1</v>
      </c>
      <c r="H21" s="117" t="s">
        <v>156</v>
      </c>
      <c r="I21" s="118">
        <v>1</v>
      </c>
      <c r="J21" s="118">
        <v>0</v>
      </c>
      <c r="K21" s="118">
        <v>0</v>
      </c>
      <c r="L21" s="118">
        <v>0</v>
      </c>
      <c r="O21" s="11" t="s">
        <v>143</v>
      </c>
      <c r="P21" s="1">
        <v>1</v>
      </c>
      <c r="Q21" s="1">
        <v>0</v>
      </c>
      <c r="R21" s="1">
        <v>0</v>
      </c>
      <c r="S21" s="1">
        <v>0</v>
      </c>
      <c r="V21" s="1">
        <v>1</v>
      </c>
      <c r="W21" s="1">
        <v>0</v>
      </c>
      <c r="X21" s="1">
        <v>0</v>
      </c>
      <c r="Y21" s="1">
        <v>1</v>
      </c>
    </row>
    <row r="22" spans="1:34" x14ac:dyDescent="0.4">
      <c r="A22" s="11" t="s">
        <v>145</v>
      </c>
      <c r="B22" s="1">
        <v>1</v>
      </c>
      <c r="C22" s="1">
        <v>1</v>
      </c>
      <c r="D22" s="1">
        <v>0</v>
      </c>
      <c r="E22" s="1">
        <v>0</v>
      </c>
      <c r="H22" s="117" t="s">
        <v>157</v>
      </c>
      <c r="I22" s="118">
        <v>1</v>
      </c>
      <c r="J22" s="118">
        <v>0</v>
      </c>
      <c r="K22" s="118">
        <v>0</v>
      </c>
      <c r="L22" s="118">
        <v>0</v>
      </c>
      <c r="O22" s="11" t="s">
        <v>145</v>
      </c>
      <c r="P22" s="1">
        <v>1</v>
      </c>
      <c r="Q22" s="1">
        <v>0</v>
      </c>
      <c r="R22" s="1">
        <v>0</v>
      </c>
      <c r="S22" s="1">
        <v>0</v>
      </c>
      <c r="V22" s="1">
        <v>1</v>
      </c>
      <c r="W22" s="1">
        <v>0</v>
      </c>
      <c r="X22" s="1">
        <v>1</v>
      </c>
      <c r="Y22" s="1">
        <v>0</v>
      </c>
    </row>
    <row r="23" spans="1:34" x14ac:dyDescent="0.4">
      <c r="A23" s="11" t="s">
        <v>147</v>
      </c>
      <c r="B23" s="1">
        <v>1</v>
      </c>
      <c r="C23" s="1">
        <v>1</v>
      </c>
      <c r="D23" s="1">
        <v>1</v>
      </c>
      <c r="E23" s="1">
        <v>0</v>
      </c>
      <c r="H23" s="117" t="s">
        <v>158</v>
      </c>
      <c r="I23" s="118">
        <v>1</v>
      </c>
      <c r="J23" s="118">
        <v>0</v>
      </c>
      <c r="K23" s="118">
        <v>0</v>
      </c>
      <c r="L23" s="118">
        <v>0</v>
      </c>
      <c r="O23" s="11" t="s">
        <v>147</v>
      </c>
      <c r="P23" s="1">
        <v>1</v>
      </c>
      <c r="Q23" s="1">
        <v>0</v>
      </c>
      <c r="R23" s="1">
        <v>0</v>
      </c>
      <c r="S23" s="1">
        <v>0</v>
      </c>
      <c r="V23" s="1">
        <v>1</v>
      </c>
      <c r="W23" s="1">
        <v>0</v>
      </c>
      <c r="X23" s="1">
        <v>1</v>
      </c>
      <c r="Y23" s="1">
        <v>1</v>
      </c>
    </row>
    <row r="24" spans="1:34" x14ac:dyDescent="0.4">
      <c r="V24" s="1">
        <v>1</v>
      </c>
      <c r="W24" s="1">
        <v>1</v>
      </c>
      <c r="X24" s="1">
        <v>0</v>
      </c>
      <c r="Y24" s="1">
        <v>0</v>
      </c>
    </row>
    <row r="25" spans="1:34" x14ac:dyDescent="0.4">
      <c r="G25" s="107" t="s">
        <v>159</v>
      </c>
      <c r="H25" s="107"/>
      <c r="I25" s="107"/>
      <c r="J25" s="107"/>
      <c r="K25" s="107"/>
      <c r="L25" s="107"/>
      <c r="V25" s="1">
        <v>1</v>
      </c>
      <c r="W25" s="1">
        <v>1</v>
      </c>
      <c r="X25" s="1">
        <v>0</v>
      </c>
      <c r="Y25" s="1">
        <v>1</v>
      </c>
    </row>
    <row r="26" spans="1:34" x14ac:dyDescent="0.4">
      <c r="G26" s="66" t="s">
        <v>160</v>
      </c>
      <c r="H26" s="67"/>
      <c r="I26" s="1">
        <v>1</v>
      </c>
      <c r="J26" s="1">
        <v>2</v>
      </c>
      <c r="K26" s="1">
        <v>3</v>
      </c>
      <c r="L26" s="1">
        <v>4</v>
      </c>
      <c r="M26" s="69" t="s">
        <v>133</v>
      </c>
      <c r="N26" s="69"/>
      <c r="V26" s="1">
        <v>1</v>
      </c>
      <c r="W26" s="1">
        <v>1</v>
      </c>
      <c r="X26" s="1">
        <v>1</v>
      </c>
      <c r="Y26" s="1">
        <v>0</v>
      </c>
    </row>
    <row r="27" spans="1:34" x14ac:dyDescent="0.4">
      <c r="G27" s="108" t="s">
        <v>161</v>
      </c>
      <c r="H27" s="109"/>
      <c r="I27" s="38">
        <v>1</v>
      </c>
      <c r="J27" s="38">
        <v>0</v>
      </c>
      <c r="K27" s="38">
        <v>0</v>
      </c>
      <c r="L27" s="38">
        <v>0</v>
      </c>
      <c r="M27" s="69">
        <f>I27*8+J27*4+K27*2+L27</f>
        <v>8</v>
      </c>
      <c r="N27" s="69"/>
      <c r="P27" s="110" t="s">
        <v>162</v>
      </c>
      <c r="Q27" s="110"/>
      <c r="R27">
        <v>10</v>
      </c>
      <c r="V27" s="1">
        <v>1</v>
      </c>
      <c r="W27" s="1">
        <v>1</v>
      </c>
      <c r="X27" s="1">
        <v>1</v>
      </c>
      <c r="Y27" s="1">
        <v>1</v>
      </c>
    </row>
    <row r="29" spans="1:34" x14ac:dyDescent="0.4">
      <c r="AG29">
        <v>8</v>
      </c>
      <c r="AH29">
        <f t="shared" ref="AH29" si="4">15*AG29-AG29*AG29</f>
        <v>56</v>
      </c>
    </row>
    <row r="32" spans="1:34" x14ac:dyDescent="0.4">
      <c r="R32" s="40"/>
    </row>
    <row r="33" spans="13:18" x14ac:dyDescent="0.4">
      <c r="R33" s="22"/>
    </row>
    <row r="45" spans="13:18" x14ac:dyDescent="0.4">
      <c r="M45">
        <v>1</v>
      </c>
    </row>
    <row r="46" spans="13:18" x14ac:dyDescent="0.4">
      <c r="N46">
        <v>1</v>
      </c>
    </row>
    <row r="47" spans="13:18" x14ac:dyDescent="0.4">
      <c r="N47">
        <v>2</v>
      </c>
    </row>
    <row r="48" spans="13:18" x14ac:dyDescent="0.4">
      <c r="M48">
        <v>1</v>
      </c>
      <c r="N48">
        <v>1</v>
      </c>
    </row>
    <row r="49" spans="14:14" x14ac:dyDescent="0.4">
      <c r="N49">
        <v>0</v>
      </c>
    </row>
    <row r="50" spans="14:14" x14ac:dyDescent="0.4">
      <c r="N50">
        <v>0</v>
      </c>
    </row>
    <row r="51" spans="14:14" x14ac:dyDescent="0.4">
      <c r="N51">
        <v>0</v>
      </c>
    </row>
    <row r="52" spans="14:14" x14ac:dyDescent="0.4">
      <c r="N52">
        <v>0</v>
      </c>
    </row>
    <row r="53" spans="14:14" x14ac:dyDescent="0.4">
      <c r="N53">
        <v>0</v>
      </c>
    </row>
    <row r="66" spans="1:31" ht="19.2" x14ac:dyDescent="0.4">
      <c r="A66" s="41" t="s">
        <v>163</v>
      </c>
      <c r="B66" s="3"/>
      <c r="C66" s="3"/>
      <c r="D66" s="3"/>
      <c r="E66" s="3"/>
      <c r="F66" s="3"/>
      <c r="G66" s="3"/>
      <c r="H66" s="3"/>
    </row>
    <row r="68" spans="1:31" x14ac:dyDescent="0.4">
      <c r="B68" s="34" t="s">
        <v>164</v>
      </c>
      <c r="I68" s="101">
        <v>100</v>
      </c>
      <c r="J68" s="102"/>
      <c r="K68" s="103"/>
      <c r="O68" s="34" t="s">
        <v>165</v>
      </c>
      <c r="P68" s="34"/>
      <c r="Q68" s="34"/>
      <c r="R68" s="34"/>
      <c r="S68" s="34"/>
      <c r="T68" s="34"/>
      <c r="U68" s="34"/>
      <c r="V68" s="34"/>
      <c r="W68" s="34"/>
      <c r="X68" s="19"/>
      <c r="Y68" s="19"/>
      <c r="Z68" s="19"/>
      <c r="AA68" s="19"/>
      <c r="AB68" s="19"/>
      <c r="AC68" s="19"/>
      <c r="AD68" s="19"/>
      <c r="AE68" s="34"/>
    </row>
    <row r="69" spans="1:31" x14ac:dyDescent="0.4">
      <c r="B69" s="34" t="s">
        <v>166</v>
      </c>
      <c r="O69" s="34" t="s">
        <v>167</v>
      </c>
      <c r="P69" s="34"/>
      <c r="Q69" s="34"/>
      <c r="R69" s="34"/>
      <c r="S69" s="34"/>
      <c r="T69" s="34"/>
      <c r="U69" s="34"/>
      <c r="V69" s="34"/>
      <c r="W69" s="34"/>
      <c r="X69" s="19"/>
      <c r="Y69" s="19"/>
      <c r="Z69" s="19"/>
      <c r="AA69" s="19"/>
      <c r="AB69" s="19"/>
      <c r="AC69" s="19"/>
      <c r="AD69" s="19"/>
      <c r="AE69" s="34"/>
    </row>
    <row r="70" spans="1:31" x14ac:dyDescent="0.4">
      <c r="B70" s="34"/>
      <c r="O70" s="19" t="s">
        <v>168</v>
      </c>
      <c r="P70" s="19"/>
      <c r="Q70" s="19"/>
      <c r="R70" s="19"/>
      <c r="S70" s="19"/>
      <c r="T70" s="19"/>
      <c r="U70" s="19"/>
      <c r="V70" s="19"/>
      <c r="W70" s="19"/>
      <c r="X70" s="19"/>
      <c r="Y70" s="19"/>
      <c r="Z70" s="19"/>
      <c r="AA70" s="19"/>
      <c r="AB70" s="19"/>
      <c r="AC70" s="19"/>
      <c r="AD70" s="19"/>
      <c r="AE70" s="34"/>
    </row>
    <row r="71" spans="1:31" x14ac:dyDescent="0.4">
      <c r="B71" s="34" t="s">
        <v>169</v>
      </c>
      <c r="I71" s="104">
        <v>0.1</v>
      </c>
      <c r="J71" s="105"/>
      <c r="K71" s="106"/>
      <c r="O71" s="19" t="s">
        <v>170</v>
      </c>
      <c r="P71" s="19"/>
      <c r="Q71" s="19"/>
      <c r="R71" s="19"/>
      <c r="S71" s="19"/>
      <c r="T71" s="19"/>
      <c r="U71" s="19"/>
      <c r="V71" s="19"/>
      <c r="W71" s="19"/>
      <c r="X71" s="19"/>
      <c r="Y71" s="19"/>
      <c r="Z71" s="19"/>
      <c r="AA71" s="19"/>
      <c r="AB71" s="19"/>
      <c r="AC71" s="19"/>
      <c r="AD71" s="19"/>
      <c r="AE71" s="19"/>
    </row>
    <row r="72" spans="1:31" x14ac:dyDescent="0.4">
      <c r="B72" s="34" t="s">
        <v>171</v>
      </c>
      <c r="I72" s="97" t="e">
        <f>SUM(#REF!)*I71</f>
        <v>#REF!</v>
      </c>
      <c r="J72" s="99"/>
      <c r="K72" s="98"/>
      <c r="AD72" s="19"/>
      <c r="AE72" s="19"/>
    </row>
    <row r="73" spans="1:31" x14ac:dyDescent="0.4">
      <c r="B73" s="34"/>
      <c r="I73" s="5"/>
      <c r="J73" s="21"/>
      <c r="K73" s="21"/>
      <c r="O73" s="19"/>
      <c r="P73" s="19"/>
      <c r="Q73" s="19"/>
      <c r="R73" s="42" t="s">
        <v>172</v>
      </c>
      <c r="S73" s="43"/>
      <c r="T73" s="44"/>
      <c r="U73" s="19"/>
      <c r="V73" s="19"/>
      <c r="W73" s="19"/>
      <c r="X73" s="19"/>
      <c r="Y73" s="19"/>
      <c r="Z73" s="19"/>
      <c r="AA73" s="19"/>
      <c r="AB73" s="19"/>
      <c r="AC73" s="19"/>
      <c r="AD73" s="19"/>
      <c r="AE73" s="19"/>
    </row>
    <row r="74" spans="1:31" x14ac:dyDescent="0.4">
      <c r="B74" s="34" t="s">
        <v>173</v>
      </c>
      <c r="I74" s="101">
        <v>0</v>
      </c>
      <c r="J74" s="102"/>
      <c r="K74" s="103"/>
    </row>
    <row r="75" spans="1:31" x14ac:dyDescent="0.4">
      <c r="B75" s="34" t="s">
        <v>174</v>
      </c>
      <c r="V75" s="22"/>
    </row>
    <row r="76" spans="1:31" x14ac:dyDescent="0.4">
      <c r="I76" s="5"/>
      <c r="J76" s="21"/>
      <c r="K76" s="21"/>
      <c r="V76" s="22"/>
    </row>
    <row r="77" spans="1:31" x14ac:dyDescent="0.4">
      <c r="I77" s="5"/>
      <c r="J77" s="21"/>
      <c r="K77" s="21"/>
      <c r="V77" s="22"/>
    </row>
    <row r="78" spans="1:31" x14ac:dyDescent="0.4">
      <c r="A78" s="34" t="s">
        <v>175</v>
      </c>
      <c r="C78" s="58" t="s">
        <v>176</v>
      </c>
      <c r="D78" s="59"/>
      <c r="E78" s="58" t="s">
        <v>177</v>
      </c>
      <c r="F78" s="59"/>
      <c r="G78" s="58" t="s">
        <v>178</v>
      </c>
      <c r="H78" s="59"/>
      <c r="I78" s="58" t="s">
        <v>179</v>
      </c>
      <c r="J78" s="59"/>
      <c r="K78" s="58" t="s">
        <v>180</v>
      </c>
      <c r="L78" s="59"/>
      <c r="M78" s="58" t="s">
        <v>181</v>
      </c>
      <c r="N78" s="59"/>
      <c r="O78" s="58" t="s">
        <v>182</v>
      </c>
      <c r="P78" s="59"/>
      <c r="Q78" s="58" t="s">
        <v>183</v>
      </c>
      <c r="R78" s="59"/>
      <c r="V78" s="22"/>
    </row>
    <row r="79" spans="1:31" x14ac:dyDescent="0.4">
      <c r="A79" s="19" t="s">
        <v>184</v>
      </c>
      <c r="C79" s="97">
        <f>I27</f>
        <v>1</v>
      </c>
      <c r="D79" s="98"/>
      <c r="E79" s="97">
        <f>J27</f>
        <v>0</v>
      </c>
      <c r="F79" s="98"/>
      <c r="G79" s="97">
        <f>K27</f>
        <v>0</v>
      </c>
      <c r="H79" s="98"/>
      <c r="I79" s="97">
        <f>L27</f>
        <v>0</v>
      </c>
      <c r="J79" s="98"/>
      <c r="K79" s="97">
        <f>M27</f>
        <v>8</v>
      </c>
      <c r="L79" s="98"/>
      <c r="M79" s="97" t="e">
        <f>#REF!</f>
        <v>#REF!</v>
      </c>
      <c r="N79" s="98"/>
      <c r="O79" s="97" t="e">
        <f>#REF!</f>
        <v>#REF!</v>
      </c>
      <c r="P79" s="98"/>
      <c r="Q79" s="97">
        <f>R27</f>
        <v>10</v>
      </c>
      <c r="R79" s="98"/>
      <c r="V79" s="22"/>
    </row>
    <row r="80" spans="1:31" x14ac:dyDescent="0.4">
      <c r="A80" s="19" t="s">
        <v>185</v>
      </c>
      <c r="C80" s="97" t="e">
        <f>C79-#REF!</f>
        <v>#REF!</v>
      </c>
      <c r="D80" s="98"/>
      <c r="E80" s="97" t="e">
        <f>E79-#REF!</f>
        <v>#REF!</v>
      </c>
      <c r="F80" s="98"/>
      <c r="G80" s="97" t="e">
        <f>G79-#REF!</f>
        <v>#REF!</v>
      </c>
      <c r="H80" s="98"/>
      <c r="I80" s="97" t="e">
        <f>I79-#REF!</f>
        <v>#REF!</v>
      </c>
      <c r="J80" s="98"/>
      <c r="K80" s="97" t="e">
        <f>K79-#REF!</f>
        <v>#REF!</v>
      </c>
      <c r="L80" s="98"/>
      <c r="M80" s="97" t="e">
        <f>M79-#REF!</f>
        <v>#REF!</v>
      </c>
      <c r="N80" s="98"/>
      <c r="O80" s="97" t="e">
        <f>O79-#REF!</f>
        <v>#REF!</v>
      </c>
      <c r="P80" s="98"/>
      <c r="Q80" s="97" t="e">
        <f>Q79-#REF!</f>
        <v>#REF!</v>
      </c>
      <c r="R80" s="98"/>
      <c r="V80" s="22"/>
    </row>
    <row r="81" spans="1:31" x14ac:dyDescent="0.4">
      <c r="A81" s="19" t="s">
        <v>186</v>
      </c>
      <c r="C81" s="95" t="e">
        <f>C79/SUM($C79:$Q79)-#REF!</f>
        <v>#REF!</v>
      </c>
      <c r="D81" s="96"/>
      <c r="E81" s="95" t="e">
        <f>E79/SUM($C79:$Q79)-#REF!</f>
        <v>#REF!</v>
      </c>
      <c r="F81" s="96"/>
      <c r="G81" s="95" t="e">
        <f>G79/SUM($C79:$Q79)-#REF!</f>
        <v>#REF!</v>
      </c>
      <c r="H81" s="96"/>
      <c r="I81" s="95" t="e">
        <f>I79/SUM($C79:$Q79)-#REF!</f>
        <v>#REF!</v>
      </c>
      <c r="J81" s="96"/>
      <c r="K81" s="95" t="e">
        <f>K79/SUM($C79:$Q79)-#REF!</f>
        <v>#REF!</v>
      </c>
      <c r="L81" s="96"/>
      <c r="M81" s="95" t="e">
        <f>M79/SUM($C79:$Q79)-#REF!</f>
        <v>#REF!</v>
      </c>
      <c r="N81" s="96"/>
      <c r="O81" s="95" t="e">
        <f>O79/SUM($C79:$Q79)-#REF!</f>
        <v>#REF!</v>
      </c>
      <c r="P81" s="96"/>
      <c r="Q81" s="95" t="e">
        <f>Q79/SUM($C79:$Q79)-#REF!</f>
        <v>#REF!</v>
      </c>
      <c r="R81" s="96"/>
      <c r="V81" s="22"/>
    </row>
    <row r="82" spans="1:31" x14ac:dyDescent="0.4">
      <c r="I82" s="5"/>
      <c r="J82" s="21"/>
      <c r="K82" s="21"/>
      <c r="V82" s="22"/>
    </row>
    <row r="83" spans="1:31" x14ac:dyDescent="0.4">
      <c r="C83" s="34" t="s">
        <v>187</v>
      </c>
      <c r="G83" s="97">
        <f>SMALL($S$3:$S$10,1)</f>
        <v>54</v>
      </c>
      <c r="H83" s="99"/>
      <c r="I83" s="98"/>
      <c r="J83" s="34"/>
      <c r="K83" s="34" t="s">
        <v>188</v>
      </c>
      <c r="M83" s="45"/>
      <c r="N83" s="95" t="e">
        <f>G83/SUM(#REF!)</f>
        <v>#REF!</v>
      </c>
      <c r="O83" s="100"/>
      <c r="P83" s="96"/>
      <c r="T83" s="34" t="s">
        <v>189</v>
      </c>
      <c r="W83" s="62">
        <v>0</v>
      </c>
      <c r="X83" s="94"/>
      <c r="Y83" s="63"/>
    </row>
    <row r="84" spans="1:31" x14ac:dyDescent="0.4">
      <c r="C84" s="34" t="s">
        <v>190</v>
      </c>
      <c r="G84" s="97">
        <f>AVERAGE($S$3:$S$10)</f>
        <v>55.5</v>
      </c>
      <c r="H84" s="99"/>
      <c r="I84" s="98"/>
      <c r="J84" s="34"/>
      <c r="K84" s="19" t="s">
        <v>188</v>
      </c>
      <c r="M84" s="45"/>
      <c r="N84" s="95" t="e">
        <f>G84/SUM(#REF!)</f>
        <v>#REF!</v>
      </c>
      <c r="O84" s="100"/>
      <c r="P84" s="96"/>
      <c r="T84" s="40" t="s">
        <v>191</v>
      </c>
    </row>
    <row r="85" spans="1:31" x14ac:dyDescent="0.4">
      <c r="I85" s="5"/>
      <c r="J85" s="21"/>
      <c r="K85" s="21"/>
      <c r="V85" s="22"/>
      <c r="W85">
        <v>4</v>
      </c>
    </row>
    <row r="86" spans="1:31" x14ac:dyDescent="0.4">
      <c r="A86" s="41" t="s">
        <v>192</v>
      </c>
      <c r="I86" s="5"/>
      <c r="J86" s="21"/>
      <c r="K86" s="21"/>
      <c r="P86" s="5"/>
      <c r="Q86" s="21"/>
      <c r="R86" s="21"/>
    </row>
    <row r="87" spans="1:31" x14ac:dyDescent="0.4">
      <c r="B87" s="19" t="s">
        <v>193</v>
      </c>
    </row>
    <row r="88" spans="1:31" s="5" customFormat="1" ht="10.8" x14ac:dyDescent="0.4">
      <c r="B88" s="5">
        <v>1</v>
      </c>
      <c r="C88" s="5">
        <v>2</v>
      </c>
      <c r="D88" s="5">
        <v>3</v>
      </c>
      <c r="E88" s="5">
        <v>4</v>
      </c>
      <c r="F88" s="5">
        <v>5</v>
      </c>
      <c r="G88" s="5">
        <v>6</v>
      </c>
      <c r="H88" s="5">
        <v>7</v>
      </c>
      <c r="I88" s="5">
        <v>8</v>
      </c>
      <c r="J88" s="5">
        <v>9</v>
      </c>
      <c r="K88" s="5">
        <v>10</v>
      </c>
      <c r="L88" s="5">
        <v>11</v>
      </c>
      <c r="M88" s="5">
        <v>12</v>
      </c>
      <c r="N88" s="5">
        <v>13</v>
      </c>
      <c r="O88" s="5">
        <v>14</v>
      </c>
      <c r="P88" s="5">
        <v>15</v>
      </c>
      <c r="Q88" s="5">
        <v>16</v>
      </c>
      <c r="R88" s="5">
        <v>17</v>
      </c>
      <c r="S88" s="5">
        <v>18</v>
      </c>
      <c r="T88" s="5">
        <v>19</v>
      </c>
      <c r="U88" s="5">
        <v>20</v>
      </c>
      <c r="V88" s="5">
        <v>21</v>
      </c>
      <c r="W88" s="5">
        <v>22</v>
      </c>
      <c r="X88" s="5">
        <v>23</v>
      </c>
      <c r="Y88" s="5">
        <v>24</v>
      </c>
      <c r="Z88" s="5">
        <v>25</v>
      </c>
      <c r="AA88" s="5">
        <v>26</v>
      </c>
      <c r="AB88" s="5">
        <v>27</v>
      </c>
      <c r="AC88" s="5">
        <v>28</v>
      </c>
      <c r="AD88" s="5">
        <v>29</v>
      </c>
      <c r="AE88" s="5">
        <v>30</v>
      </c>
    </row>
    <row r="89" spans="1:31" x14ac:dyDescent="0.4">
      <c r="A89" s="4" t="s">
        <v>194</v>
      </c>
      <c r="B89" s="46">
        <f>$I$68/30*B88</f>
        <v>3.3333333333333335</v>
      </c>
      <c r="C89" s="46">
        <f>$I$68/30*C88</f>
        <v>6.666666666666667</v>
      </c>
      <c r="D89" s="46">
        <f t="shared" ref="D89:AE89" si="5">$I$68/30*D88</f>
        <v>10</v>
      </c>
      <c r="E89" s="46">
        <f t="shared" si="5"/>
        <v>13.333333333333334</v>
      </c>
      <c r="F89" s="46">
        <f t="shared" si="5"/>
        <v>16.666666666666668</v>
      </c>
      <c r="G89" s="46">
        <f t="shared" si="5"/>
        <v>20</v>
      </c>
      <c r="H89" s="46">
        <f t="shared" si="5"/>
        <v>23.333333333333336</v>
      </c>
      <c r="I89" s="46">
        <f t="shared" si="5"/>
        <v>26.666666666666668</v>
      </c>
      <c r="J89" s="46">
        <f t="shared" si="5"/>
        <v>30</v>
      </c>
      <c r="K89" s="46">
        <f t="shared" si="5"/>
        <v>33.333333333333336</v>
      </c>
      <c r="L89" s="46">
        <f t="shared" si="5"/>
        <v>36.666666666666671</v>
      </c>
      <c r="M89" s="46">
        <f t="shared" si="5"/>
        <v>40</v>
      </c>
      <c r="N89" s="46">
        <f t="shared" si="5"/>
        <v>43.333333333333336</v>
      </c>
      <c r="O89" s="46">
        <f t="shared" si="5"/>
        <v>46.666666666666671</v>
      </c>
      <c r="P89" s="46">
        <f t="shared" si="5"/>
        <v>50</v>
      </c>
      <c r="Q89" s="46">
        <f t="shared" si="5"/>
        <v>53.333333333333336</v>
      </c>
      <c r="R89" s="46">
        <f t="shared" si="5"/>
        <v>56.666666666666671</v>
      </c>
      <c r="S89" s="46">
        <f t="shared" si="5"/>
        <v>60</v>
      </c>
      <c r="T89" s="46">
        <f t="shared" si="5"/>
        <v>63.333333333333336</v>
      </c>
      <c r="U89" s="46">
        <f t="shared" si="5"/>
        <v>66.666666666666671</v>
      </c>
      <c r="V89" s="46">
        <f t="shared" si="5"/>
        <v>70</v>
      </c>
      <c r="W89" s="46">
        <f t="shared" si="5"/>
        <v>73.333333333333343</v>
      </c>
      <c r="X89" s="46">
        <f t="shared" si="5"/>
        <v>76.666666666666671</v>
      </c>
      <c r="Y89" s="46">
        <f t="shared" si="5"/>
        <v>80</v>
      </c>
      <c r="Z89" s="46">
        <f t="shared" si="5"/>
        <v>83.333333333333343</v>
      </c>
      <c r="AA89" s="46">
        <f t="shared" si="5"/>
        <v>86.666666666666671</v>
      </c>
      <c r="AB89" s="46">
        <f t="shared" si="5"/>
        <v>90</v>
      </c>
      <c r="AC89" s="46">
        <f t="shared" si="5"/>
        <v>93.333333333333343</v>
      </c>
      <c r="AD89" s="46">
        <f t="shared" si="5"/>
        <v>96.666666666666671</v>
      </c>
      <c r="AE89" s="46">
        <f t="shared" si="5"/>
        <v>100</v>
      </c>
    </row>
    <row r="90" spans="1:31" ht="22.5" customHeight="1" x14ac:dyDescent="0.4">
      <c r="A90" s="47" t="s">
        <v>195</v>
      </c>
      <c r="B90" s="46">
        <v>44</v>
      </c>
      <c r="C90" s="46">
        <v>44</v>
      </c>
      <c r="D90" s="46">
        <v>44</v>
      </c>
      <c r="E90" s="46">
        <v>44</v>
      </c>
      <c r="F90" s="46">
        <v>54</v>
      </c>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row>
    <row r="91" spans="1:31" ht="22.5" customHeight="1" x14ac:dyDescent="0.4">
      <c r="A91" s="47" t="s">
        <v>196</v>
      </c>
      <c r="B91" s="46">
        <v>52.5</v>
      </c>
      <c r="C91" s="46">
        <v>52.5</v>
      </c>
      <c r="D91" s="46">
        <v>48.75</v>
      </c>
      <c r="E91" s="46">
        <v>53.25</v>
      </c>
      <c r="F91" s="46">
        <v>55.75</v>
      </c>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row>
    <row r="92" spans="1:31" ht="14.25" customHeight="1" x14ac:dyDescent="0.4">
      <c r="A92" s="47" t="s">
        <v>197</v>
      </c>
      <c r="B92" s="46"/>
      <c r="C92" s="46"/>
      <c r="D92" s="46"/>
      <c r="E92" s="46"/>
      <c r="F92" s="46"/>
      <c r="G92" s="46">
        <v>0</v>
      </c>
      <c r="H92" s="46">
        <v>0</v>
      </c>
      <c r="I92" s="46">
        <v>0</v>
      </c>
      <c r="J92" s="46">
        <v>0</v>
      </c>
      <c r="K92" s="46">
        <v>0</v>
      </c>
      <c r="L92" s="46">
        <v>0</v>
      </c>
      <c r="M92" s="46">
        <v>0</v>
      </c>
      <c r="N92" s="46">
        <v>0</v>
      </c>
      <c r="O92" s="46">
        <v>0</v>
      </c>
      <c r="P92" s="46">
        <v>0</v>
      </c>
      <c r="Q92" s="46">
        <v>0</v>
      </c>
      <c r="R92" s="46">
        <v>0</v>
      </c>
      <c r="S92" s="46">
        <v>0</v>
      </c>
      <c r="T92" s="46">
        <v>0</v>
      </c>
      <c r="U92" s="46">
        <v>0</v>
      </c>
      <c r="V92" s="46">
        <v>0</v>
      </c>
      <c r="W92" s="46">
        <v>0</v>
      </c>
      <c r="X92" s="46">
        <v>0</v>
      </c>
      <c r="Y92" s="46">
        <v>0</v>
      </c>
      <c r="Z92" s="46">
        <v>0</v>
      </c>
      <c r="AA92" s="46">
        <v>0</v>
      </c>
      <c r="AB92" s="46">
        <v>0</v>
      </c>
      <c r="AC92" s="46">
        <v>0</v>
      </c>
      <c r="AD92" s="46">
        <v>0</v>
      </c>
      <c r="AE92" s="46">
        <v>0</v>
      </c>
    </row>
    <row r="93" spans="1:31" x14ac:dyDescent="0.4">
      <c r="G93">
        <v>1</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c r="AD93">
        <v>1</v>
      </c>
      <c r="AE93">
        <v>1</v>
      </c>
    </row>
  </sheetData>
  <mergeCells count="80">
    <mergeCell ref="N1:AA1"/>
    <mergeCell ref="I2:J2"/>
    <mergeCell ref="X2:Y2"/>
    <mergeCell ref="Z2:AA2"/>
    <mergeCell ref="S3:T3"/>
    <mergeCell ref="X3:Y3"/>
    <mergeCell ref="Z3:AA3"/>
    <mergeCell ref="S4:T4"/>
    <mergeCell ref="X4:Y4"/>
    <mergeCell ref="Z4:AA4"/>
    <mergeCell ref="S5:T5"/>
    <mergeCell ref="X5:Y5"/>
    <mergeCell ref="Z5:AA5"/>
    <mergeCell ref="Z8:AA8"/>
    <mergeCell ref="S9:T9"/>
    <mergeCell ref="X9:Y9"/>
    <mergeCell ref="Z9:AA9"/>
    <mergeCell ref="A6:E6"/>
    <mergeCell ref="S6:T6"/>
    <mergeCell ref="X6:Y6"/>
    <mergeCell ref="Z6:AA6"/>
    <mergeCell ref="S7:T7"/>
    <mergeCell ref="X7:Y7"/>
    <mergeCell ref="Z7:AA7"/>
    <mergeCell ref="A14:E14"/>
    <mergeCell ref="H14:L14"/>
    <mergeCell ref="O14:S14"/>
    <mergeCell ref="S8:T8"/>
    <mergeCell ref="X8:Y8"/>
    <mergeCell ref="P27:Q27"/>
    <mergeCell ref="S10:T10"/>
    <mergeCell ref="X10:Y10"/>
    <mergeCell ref="Z10:AA10"/>
    <mergeCell ref="V12:Y12"/>
    <mergeCell ref="G25:L25"/>
    <mergeCell ref="G26:H26"/>
    <mergeCell ref="M26:N26"/>
    <mergeCell ref="G27:H27"/>
    <mergeCell ref="M27:N27"/>
    <mergeCell ref="I68:K68"/>
    <mergeCell ref="I71:K71"/>
    <mergeCell ref="I72:K72"/>
    <mergeCell ref="I74:K74"/>
    <mergeCell ref="C78:D78"/>
    <mergeCell ref="E78:F78"/>
    <mergeCell ref="G78:H78"/>
    <mergeCell ref="I78:J78"/>
    <mergeCell ref="K78:L78"/>
    <mergeCell ref="M78:N78"/>
    <mergeCell ref="O78:P78"/>
    <mergeCell ref="Q78:R78"/>
    <mergeCell ref="C79:D79"/>
    <mergeCell ref="E79:F79"/>
    <mergeCell ref="G79:H79"/>
    <mergeCell ref="I79:J79"/>
    <mergeCell ref="K79:L79"/>
    <mergeCell ref="M79:N79"/>
    <mergeCell ref="O79:P79"/>
    <mergeCell ref="Q79:R79"/>
    <mergeCell ref="C80:D80"/>
    <mergeCell ref="E80:F80"/>
    <mergeCell ref="G80:H80"/>
    <mergeCell ref="I80:J80"/>
    <mergeCell ref="K80:L80"/>
    <mergeCell ref="M80:N80"/>
    <mergeCell ref="O80:P80"/>
    <mergeCell ref="Q80:R80"/>
    <mergeCell ref="G84:I84"/>
    <mergeCell ref="N84:P84"/>
    <mergeCell ref="M81:N81"/>
    <mergeCell ref="O81:P81"/>
    <mergeCell ref="Q81:R81"/>
    <mergeCell ref="G83:I83"/>
    <mergeCell ref="N83:P83"/>
    <mergeCell ref="W83:Y83"/>
    <mergeCell ref="C81:D81"/>
    <mergeCell ref="E81:F81"/>
    <mergeCell ref="G81:H81"/>
    <mergeCell ref="I81:J81"/>
    <mergeCell ref="K81:L8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autoFill="0" autoPict="0" macro="[0]!Mask">
                <anchor moveWithCells="1">
                  <from>
                    <xdr:col>0</xdr:col>
                    <xdr:colOff>106680</xdr:colOff>
                    <xdr:row>3</xdr:row>
                    <xdr:rowOff>22860</xdr:rowOff>
                  </from>
                  <to>
                    <xdr:col>3</xdr:col>
                    <xdr:colOff>106680</xdr:colOff>
                    <xdr:row>4</xdr:row>
                    <xdr:rowOff>114300</xdr:rowOff>
                  </to>
                </anchor>
              </controlPr>
            </control>
          </mc:Choice>
        </mc:AlternateContent>
        <mc:AlternateContent xmlns:mc="http://schemas.openxmlformats.org/markup-compatibility/2006">
          <mc:Choice Requires="x14">
            <control shapeId="10242" r:id="rId4" name="Button 2">
              <controlPr defaultSize="0" autoFill="0" autoPict="0" macro="[0]!InitSet">
                <anchor moveWithCells="1">
                  <from>
                    <xdr:col>0</xdr:col>
                    <xdr:colOff>45720</xdr:colOff>
                    <xdr:row>11</xdr:row>
                    <xdr:rowOff>83820</xdr:rowOff>
                  </from>
                  <to>
                    <xdr:col>3</xdr:col>
                    <xdr:colOff>22860</xdr:colOff>
                    <xdr:row>12</xdr:row>
                    <xdr:rowOff>160020</xdr:rowOff>
                  </to>
                </anchor>
              </controlPr>
            </control>
          </mc:Choice>
        </mc:AlternateContent>
        <mc:AlternateContent xmlns:mc="http://schemas.openxmlformats.org/markup-compatibility/2006">
          <mc:Choice Requires="x14">
            <control shapeId="10243" r:id="rId5" name="Button 3">
              <controlPr defaultSize="0" autoFill="0" autoPict="0" macro="[0]!Eval">
                <anchor moveWithCells="1">
                  <from>
                    <xdr:col>4</xdr:col>
                    <xdr:colOff>182880</xdr:colOff>
                    <xdr:row>11</xdr:row>
                    <xdr:rowOff>83820</xdr:rowOff>
                  </from>
                  <to>
                    <xdr:col>8</xdr:col>
                    <xdr:colOff>38100</xdr:colOff>
                    <xdr:row>12</xdr:row>
                    <xdr:rowOff>190500</xdr:rowOff>
                  </to>
                </anchor>
              </controlPr>
            </control>
          </mc:Choice>
        </mc:AlternateContent>
        <mc:AlternateContent xmlns:mc="http://schemas.openxmlformats.org/markup-compatibility/2006">
          <mc:Choice Requires="x14">
            <control shapeId="10244" r:id="rId6" name="Button 4">
              <controlPr defaultSize="0" autoFill="0" autoPict="0" macro="[0]!Cross">
                <anchor moveWithCells="1">
                  <from>
                    <xdr:col>9</xdr:col>
                    <xdr:colOff>121920</xdr:colOff>
                    <xdr:row>11</xdr:row>
                    <xdr:rowOff>83820</xdr:rowOff>
                  </from>
                  <to>
                    <xdr:col>12</xdr:col>
                    <xdr:colOff>152400</xdr:colOff>
                    <xdr:row>12</xdr:row>
                    <xdr:rowOff>190500</xdr:rowOff>
                  </to>
                </anchor>
              </controlPr>
            </control>
          </mc:Choice>
        </mc:AlternateContent>
        <mc:AlternateContent xmlns:mc="http://schemas.openxmlformats.org/markup-compatibility/2006">
          <mc:Choice Requires="x14">
            <control shapeId="10245" r:id="rId7" name="Button 5">
              <controlPr defaultSize="0" autoFill="0" autoPict="0" macro="[0]!Mutation">
                <anchor moveWithCells="1">
                  <from>
                    <xdr:col>14</xdr:col>
                    <xdr:colOff>68580</xdr:colOff>
                    <xdr:row>11</xdr:row>
                    <xdr:rowOff>99060</xdr:rowOff>
                  </from>
                  <to>
                    <xdr:col>17</xdr:col>
                    <xdr:colOff>114300</xdr:colOff>
                    <xdr:row>12</xdr:row>
                    <xdr:rowOff>198120</xdr:rowOff>
                  </to>
                </anchor>
              </controlPr>
            </control>
          </mc:Choice>
        </mc:AlternateContent>
        <mc:AlternateContent xmlns:mc="http://schemas.openxmlformats.org/markup-compatibility/2006">
          <mc:Choice Requires="x14">
            <control shapeId="10246" r:id="rId8" name="Button 6">
              <controlPr defaultSize="0" autoFill="0" autoPict="0" macro="[2]!Execute">
                <anchor moveWithCells="1">
                  <from>
                    <xdr:col>16</xdr:col>
                    <xdr:colOff>114300</xdr:colOff>
                    <xdr:row>71</xdr:row>
                    <xdr:rowOff>152400</xdr:rowOff>
                  </from>
                  <to>
                    <xdr:col>20</xdr:col>
                    <xdr:colOff>114300</xdr:colOff>
                    <xdr:row>73</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AND</vt:lpstr>
      <vt:lpstr>OR</vt:lpstr>
      <vt:lpstr>NOT</vt:lpstr>
      <vt:lpstr>AND LEARING</vt:lpstr>
      <vt:lpstr>OR LEARNING</vt:lpstr>
      <vt:lpstr>XOR LEARNING</vt:lpstr>
      <vt:lpstr>XOR_back_learning</vt:lpstr>
      <vt:lpstr>Fuzzy</vt:lpstr>
      <vt:lpstr>expert stytem</vt:lpstr>
      <vt:lpstr>genetic algorithm</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2020-04-23T12:16:21Z</dcterms:created>
  <dcterms:modified xsi:type="dcterms:W3CDTF">2020-05-07T13:11:34Z</dcterms:modified>
</cp:coreProperties>
</file>